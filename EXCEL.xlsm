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tables/table5.xml" ContentType="application/vnd.openxmlformats-officedocument.spreadsheetml.table+xml"/>
  <Override PartName="/xl/queryTables/queryTable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unibrightonac-my.sharepoint.com/personal/d_pourjam1_uni_brighton_ac_uk/Documents/Desktop/"/>
    </mc:Choice>
  </mc:AlternateContent>
  <xr:revisionPtr revIDLastSave="11" documentId="8_{F7E38498-2DAB-4999-B311-3365D687FD4F}" xr6:coauthVersionLast="47" xr6:coauthVersionMax="47" xr10:uidLastSave="{B5351274-3CE4-4851-84D3-36442FC4E01D}"/>
  <bookViews>
    <workbookView xWindow="-120" yWindow="-120" windowWidth="29040" windowHeight="15720" activeTab="3" xr2:uid="{3C35364C-4339-4BE3-8AB6-A597C31E6365}"/>
  </bookViews>
  <sheets>
    <sheet name="Postcodes" sheetId="4" r:id="rId1"/>
    <sheet name="Value_order" sheetId="3" r:id="rId2"/>
    <sheet name="pivot_table" sheetId="10" r:id="rId3"/>
    <sheet name="MASTER_TABLE" sheetId="9" r:id="rId4"/>
    <sheet name="written commentary" sheetId="22" r:id="rId5"/>
    <sheet name="Cust_inform" sheetId="2" r:id="rId6"/>
  </sheets>
  <definedNames>
    <definedName name="_xlchart.v1.0" hidden="1">MASTER_TABLE!$G$1</definedName>
    <definedName name="_xlchart.v1.1" hidden="1">MASTER_TABLE!$G$2:$G$615</definedName>
    <definedName name="_xlchart.v1.2" hidden="1">MASTER_TABLE!$H$1</definedName>
    <definedName name="_xlchart.v1.3" hidden="1">MASTER_TABLE!$H$2:$H$615</definedName>
    <definedName name="ExternalData_1" localSheetId="5" hidden="1">'Cust_inform'!$A$1:$D$22</definedName>
    <definedName name="ExternalData_2" localSheetId="1" hidden="1">Value_order!$A$1:$C$615</definedName>
    <definedName name="ExternalData_3" localSheetId="0" hidden="1">Postcodes!$A$1:$B$26</definedName>
  </definedNames>
  <calcPr calcId="191028"/>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9" l="1"/>
  <c r="H2" i="9"/>
  <c r="G3" i="9"/>
  <c r="H3" i="9"/>
  <c r="G4" i="9"/>
  <c r="H4" i="9"/>
  <c r="G5" i="9"/>
  <c r="H5" i="9"/>
  <c r="G6" i="9"/>
  <c r="H6" i="9"/>
  <c r="G7" i="9"/>
  <c r="H7" i="9"/>
  <c r="G8" i="9"/>
  <c r="H8" i="9"/>
  <c r="G9" i="9"/>
  <c r="H9" i="9"/>
  <c r="G10" i="9"/>
  <c r="H10" i="9"/>
  <c r="G11" i="9"/>
  <c r="H11" i="9"/>
  <c r="G12" i="9"/>
  <c r="H12" i="9"/>
  <c r="G13" i="9"/>
  <c r="H13" i="9"/>
  <c r="G14" i="9"/>
  <c r="H14" i="9"/>
  <c r="G15" i="9"/>
  <c r="H15" i="9"/>
  <c r="G16" i="9"/>
  <c r="H16" i="9"/>
  <c r="G17" i="9"/>
  <c r="H17" i="9"/>
  <c r="G18" i="9"/>
  <c r="H18" i="9"/>
  <c r="G19" i="9"/>
  <c r="H19" i="9"/>
  <c r="G20" i="9"/>
  <c r="H20" i="9"/>
  <c r="G21" i="9"/>
  <c r="H21" i="9"/>
  <c r="G22" i="9"/>
  <c r="H22" i="9"/>
  <c r="G23" i="9"/>
  <c r="H23" i="9"/>
  <c r="G24" i="9"/>
  <c r="H24" i="9"/>
  <c r="G25" i="9"/>
  <c r="H25" i="9"/>
  <c r="G26" i="9"/>
  <c r="H26" i="9"/>
  <c r="G27" i="9"/>
  <c r="H27" i="9"/>
  <c r="G28" i="9"/>
  <c r="H28" i="9"/>
  <c r="G29" i="9"/>
  <c r="H29" i="9"/>
  <c r="G30" i="9"/>
  <c r="H30" i="9"/>
  <c r="G31" i="9"/>
  <c r="H31" i="9"/>
  <c r="G32" i="9"/>
  <c r="H32" i="9"/>
  <c r="G33" i="9"/>
  <c r="H33" i="9"/>
  <c r="G34" i="9"/>
  <c r="H34" i="9"/>
  <c r="G35" i="9"/>
  <c r="H35" i="9"/>
  <c r="G36" i="9"/>
  <c r="H36" i="9"/>
  <c r="G37" i="9"/>
  <c r="H37" i="9"/>
  <c r="G38" i="9"/>
  <c r="H38" i="9"/>
  <c r="G39" i="9"/>
  <c r="H39" i="9"/>
  <c r="G40" i="9"/>
  <c r="H40" i="9"/>
  <c r="G41" i="9"/>
  <c r="H41" i="9"/>
  <c r="G42" i="9"/>
  <c r="H42" i="9"/>
  <c r="G43" i="9"/>
  <c r="H43" i="9"/>
  <c r="G44" i="9"/>
  <c r="H44" i="9"/>
  <c r="G45" i="9"/>
  <c r="H45" i="9"/>
  <c r="G46" i="9"/>
  <c r="H46" i="9"/>
  <c r="G47" i="9"/>
  <c r="H47" i="9"/>
  <c r="G48" i="9"/>
  <c r="H48" i="9"/>
  <c r="G49" i="9"/>
  <c r="H49" i="9"/>
  <c r="G50" i="9"/>
  <c r="H50" i="9"/>
  <c r="G51" i="9"/>
  <c r="H51" i="9"/>
  <c r="G52" i="9"/>
  <c r="H52" i="9"/>
  <c r="G53" i="9"/>
  <c r="H53" i="9"/>
  <c r="G54" i="9"/>
  <c r="H54" i="9"/>
  <c r="G55" i="9"/>
  <c r="H55" i="9"/>
  <c r="G56" i="9"/>
  <c r="H56" i="9"/>
  <c r="G57" i="9"/>
  <c r="H57" i="9"/>
  <c r="G58" i="9"/>
  <c r="H58" i="9"/>
  <c r="G59" i="9"/>
  <c r="H59" i="9"/>
  <c r="G60" i="9"/>
  <c r="H60" i="9"/>
  <c r="G61" i="9"/>
  <c r="H61" i="9"/>
  <c r="G62" i="9"/>
  <c r="H62" i="9"/>
  <c r="G63" i="9"/>
  <c r="H63" i="9"/>
  <c r="G64" i="9"/>
  <c r="H64" i="9"/>
  <c r="G65" i="9"/>
  <c r="H65" i="9"/>
  <c r="G66" i="9"/>
  <c r="H66" i="9"/>
  <c r="G67" i="9"/>
  <c r="H67" i="9"/>
  <c r="G68" i="9"/>
  <c r="H68" i="9"/>
  <c r="G69" i="9"/>
  <c r="H69" i="9"/>
  <c r="G70" i="9"/>
  <c r="H70" i="9"/>
  <c r="G71" i="9"/>
  <c r="H71" i="9"/>
  <c r="G72" i="9"/>
  <c r="H72" i="9"/>
  <c r="G73" i="9"/>
  <c r="H73" i="9"/>
  <c r="G74" i="9"/>
  <c r="H74" i="9"/>
  <c r="G75" i="9"/>
  <c r="H75" i="9"/>
  <c r="G76" i="9"/>
  <c r="H76" i="9"/>
  <c r="G77" i="9"/>
  <c r="H77" i="9"/>
  <c r="G78" i="9"/>
  <c r="H78" i="9"/>
  <c r="G79" i="9"/>
  <c r="H79" i="9"/>
  <c r="G80" i="9"/>
  <c r="H80" i="9"/>
  <c r="G81" i="9"/>
  <c r="H81" i="9"/>
  <c r="G82" i="9"/>
  <c r="H82" i="9"/>
  <c r="G83" i="9"/>
  <c r="H83" i="9"/>
  <c r="G84" i="9"/>
  <c r="H84" i="9"/>
  <c r="G85" i="9"/>
  <c r="H85" i="9"/>
  <c r="G86" i="9"/>
  <c r="H86" i="9"/>
  <c r="G87" i="9"/>
  <c r="H87" i="9"/>
  <c r="G88" i="9"/>
  <c r="H88" i="9"/>
  <c r="G89" i="9"/>
  <c r="H89" i="9"/>
  <c r="G90" i="9"/>
  <c r="H90" i="9"/>
  <c r="G91" i="9"/>
  <c r="H91" i="9"/>
  <c r="G92" i="9"/>
  <c r="H92" i="9"/>
  <c r="G93" i="9"/>
  <c r="H93" i="9"/>
  <c r="G94" i="9"/>
  <c r="H94" i="9"/>
  <c r="G95" i="9"/>
  <c r="H95" i="9"/>
  <c r="G96" i="9"/>
  <c r="H96" i="9"/>
  <c r="G97" i="9"/>
  <c r="H97" i="9"/>
  <c r="G98" i="9"/>
  <c r="H98" i="9"/>
  <c r="G99" i="9"/>
  <c r="H99" i="9"/>
  <c r="G100" i="9"/>
  <c r="H100" i="9"/>
  <c r="G101" i="9"/>
  <c r="H101" i="9"/>
  <c r="G102" i="9"/>
  <c r="H102" i="9"/>
  <c r="G103" i="9"/>
  <c r="H103" i="9"/>
  <c r="G104" i="9"/>
  <c r="H104" i="9"/>
  <c r="G105" i="9"/>
  <c r="H105" i="9"/>
  <c r="G106" i="9"/>
  <c r="H106" i="9"/>
  <c r="G107" i="9"/>
  <c r="H107" i="9"/>
  <c r="G108" i="9"/>
  <c r="H108" i="9"/>
  <c r="G109" i="9"/>
  <c r="H109" i="9"/>
  <c r="G110" i="9"/>
  <c r="H110" i="9"/>
  <c r="G111" i="9"/>
  <c r="H111" i="9"/>
  <c r="G112" i="9"/>
  <c r="H112" i="9"/>
  <c r="G113" i="9"/>
  <c r="H113" i="9"/>
  <c r="G114" i="9"/>
  <c r="H114" i="9"/>
  <c r="G115" i="9"/>
  <c r="H115" i="9"/>
  <c r="G116" i="9"/>
  <c r="H116" i="9"/>
  <c r="G117" i="9"/>
  <c r="H117" i="9"/>
  <c r="G118" i="9"/>
  <c r="H118" i="9"/>
  <c r="G119" i="9"/>
  <c r="H119" i="9"/>
  <c r="G120" i="9"/>
  <c r="H120" i="9"/>
  <c r="G121" i="9"/>
  <c r="H121" i="9"/>
  <c r="G122" i="9"/>
  <c r="H122" i="9"/>
  <c r="G123" i="9"/>
  <c r="H123" i="9"/>
  <c r="G124" i="9"/>
  <c r="H124" i="9"/>
  <c r="G125" i="9"/>
  <c r="H125" i="9"/>
  <c r="G126" i="9"/>
  <c r="H126" i="9"/>
  <c r="G127" i="9"/>
  <c r="H127" i="9"/>
  <c r="G128" i="9"/>
  <c r="H128" i="9"/>
  <c r="G129" i="9"/>
  <c r="H129" i="9"/>
  <c r="G130" i="9"/>
  <c r="H130" i="9"/>
  <c r="G131" i="9"/>
  <c r="H131" i="9"/>
  <c r="G132" i="9"/>
  <c r="H132" i="9"/>
  <c r="G133" i="9"/>
  <c r="H133" i="9"/>
  <c r="G134" i="9"/>
  <c r="H134" i="9"/>
  <c r="G135" i="9"/>
  <c r="H135" i="9"/>
  <c r="G136" i="9"/>
  <c r="H136" i="9"/>
  <c r="G137" i="9"/>
  <c r="H137" i="9"/>
  <c r="G138" i="9"/>
  <c r="H138" i="9"/>
  <c r="G139" i="9"/>
  <c r="H139" i="9"/>
  <c r="G140" i="9"/>
  <c r="H140" i="9"/>
  <c r="G141" i="9"/>
  <c r="H141" i="9"/>
  <c r="G142" i="9"/>
  <c r="H142" i="9"/>
  <c r="G143" i="9"/>
  <c r="H143" i="9"/>
  <c r="G144" i="9"/>
  <c r="H144" i="9"/>
  <c r="G145" i="9"/>
  <c r="H145" i="9"/>
  <c r="G146" i="9"/>
  <c r="H146" i="9"/>
  <c r="G147" i="9"/>
  <c r="H147" i="9"/>
  <c r="G148" i="9"/>
  <c r="H148" i="9"/>
  <c r="G149" i="9"/>
  <c r="H149" i="9"/>
  <c r="G150" i="9"/>
  <c r="H150" i="9"/>
  <c r="G151" i="9"/>
  <c r="H151" i="9"/>
  <c r="G152" i="9"/>
  <c r="H152" i="9"/>
  <c r="G153" i="9"/>
  <c r="H153" i="9"/>
  <c r="G154" i="9"/>
  <c r="H154" i="9"/>
  <c r="G155" i="9"/>
  <c r="H155" i="9"/>
  <c r="G156" i="9"/>
  <c r="H156" i="9"/>
  <c r="G157" i="9"/>
  <c r="H157" i="9"/>
  <c r="G158" i="9"/>
  <c r="H158" i="9"/>
  <c r="G159" i="9"/>
  <c r="H159" i="9"/>
  <c r="G160" i="9"/>
  <c r="H160" i="9"/>
  <c r="G161" i="9"/>
  <c r="H161" i="9"/>
  <c r="G162" i="9"/>
  <c r="H162" i="9"/>
  <c r="G163" i="9"/>
  <c r="H163" i="9"/>
  <c r="G164" i="9"/>
  <c r="H164" i="9"/>
  <c r="G165" i="9"/>
  <c r="H165" i="9"/>
  <c r="G166" i="9"/>
  <c r="H166" i="9"/>
  <c r="G167" i="9"/>
  <c r="H167" i="9"/>
  <c r="G168" i="9"/>
  <c r="H168" i="9"/>
  <c r="G169" i="9"/>
  <c r="H169" i="9"/>
  <c r="G170" i="9"/>
  <c r="H170" i="9"/>
  <c r="G171" i="9"/>
  <c r="H171" i="9"/>
  <c r="G172" i="9"/>
  <c r="H172" i="9"/>
  <c r="G173" i="9"/>
  <c r="H173" i="9"/>
  <c r="G174" i="9"/>
  <c r="H174" i="9"/>
  <c r="G175" i="9"/>
  <c r="H175" i="9"/>
  <c r="G176" i="9"/>
  <c r="H176" i="9"/>
  <c r="G177" i="9"/>
  <c r="H177" i="9"/>
  <c r="G178" i="9"/>
  <c r="H178" i="9"/>
  <c r="G179" i="9"/>
  <c r="H179" i="9"/>
  <c r="G180" i="9"/>
  <c r="H180" i="9"/>
  <c r="G181" i="9"/>
  <c r="H181" i="9"/>
  <c r="G182" i="9"/>
  <c r="H182" i="9"/>
  <c r="G183" i="9"/>
  <c r="H183" i="9"/>
  <c r="G184" i="9"/>
  <c r="H184" i="9"/>
  <c r="G185" i="9"/>
  <c r="H185" i="9"/>
  <c r="G186" i="9"/>
  <c r="H186" i="9"/>
  <c r="G187" i="9"/>
  <c r="H187" i="9"/>
  <c r="G188" i="9"/>
  <c r="H188" i="9"/>
  <c r="G189" i="9"/>
  <c r="H189" i="9"/>
  <c r="G190" i="9"/>
  <c r="H190" i="9"/>
  <c r="G191" i="9"/>
  <c r="H191" i="9"/>
  <c r="G192" i="9"/>
  <c r="H192" i="9"/>
  <c r="G193" i="9"/>
  <c r="H193" i="9"/>
  <c r="G194" i="9"/>
  <c r="H194" i="9"/>
  <c r="G195" i="9"/>
  <c r="H195" i="9"/>
  <c r="G196" i="9"/>
  <c r="H196" i="9"/>
  <c r="G197" i="9"/>
  <c r="H197" i="9"/>
  <c r="G198" i="9"/>
  <c r="H198" i="9"/>
  <c r="G199" i="9"/>
  <c r="H199" i="9"/>
  <c r="G200" i="9"/>
  <c r="H200" i="9"/>
  <c r="G201" i="9"/>
  <c r="H201" i="9"/>
  <c r="G202" i="9"/>
  <c r="H202" i="9"/>
  <c r="G203" i="9"/>
  <c r="H203" i="9"/>
  <c r="G204" i="9"/>
  <c r="H204" i="9"/>
  <c r="G205" i="9"/>
  <c r="H205" i="9"/>
  <c r="G206" i="9"/>
  <c r="H206" i="9"/>
  <c r="G207" i="9"/>
  <c r="H207" i="9"/>
  <c r="G208" i="9"/>
  <c r="H208" i="9"/>
  <c r="G209" i="9"/>
  <c r="H209" i="9"/>
  <c r="G210" i="9"/>
  <c r="H210" i="9"/>
  <c r="G211" i="9"/>
  <c r="H211" i="9"/>
  <c r="G212" i="9"/>
  <c r="H212" i="9"/>
  <c r="G213" i="9"/>
  <c r="H213" i="9"/>
  <c r="G214" i="9"/>
  <c r="H214" i="9"/>
  <c r="G215" i="9"/>
  <c r="H215" i="9"/>
  <c r="G216" i="9"/>
  <c r="H216" i="9"/>
  <c r="G217" i="9"/>
  <c r="H217" i="9"/>
  <c r="G218" i="9"/>
  <c r="H218" i="9"/>
  <c r="G219" i="9"/>
  <c r="H219" i="9"/>
  <c r="G220" i="9"/>
  <c r="H220" i="9"/>
  <c r="G221" i="9"/>
  <c r="H221" i="9"/>
  <c r="G222" i="9"/>
  <c r="H222" i="9"/>
  <c r="G223" i="9"/>
  <c r="H223" i="9"/>
  <c r="G224" i="9"/>
  <c r="H224" i="9"/>
  <c r="G225" i="9"/>
  <c r="H225" i="9"/>
  <c r="G226" i="9"/>
  <c r="H226" i="9"/>
  <c r="G227" i="9"/>
  <c r="H227" i="9"/>
  <c r="G228" i="9"/>
  <c r="H228" i="9"/>
  <c r="G229" i="9"/>
  <c r="H229" i="9"/>
  <c r="G230" i="9"/>
  <c r="H230" i="9"/>
  <c r="G231" i="9"/>
  <c r="H231" i="9"/>
  <c r="G232" i="9"/>
  <c r="H232" i="9"/>
  <c r="G233" i="9"/>
  <c r="H233" i="9"/>
  <c r="G234" i="9"/>
  <c r="H234" i="9"/>
  <c r="G235" i="9"/>
  <c r="H235" i="9"/>
  <c r="G236" i="9"/>
  <c r="H236" i="9"/>
  <c r="G237" i="9"/>
  <c r="H237" i="9"/>
  <c r="G238" i="9"/>
  <c r="H238" i="9"/>
  <c r="G239" i="9"/>
  <c r="H239" i="9"/>
  <c r="G240" i="9"/>
  <c r="H240" i="9"/>
  <c r="G241" i="9"/>
  <c r="H241" i="9"/>
  <c r="G242" i="9"/>
  <c r="H242" i="9"/>
  <c r="G243" i="9"/>
  <c r="H243" i="9"/>
  <c r="G244" i="9"/>
  <c r="H244" i="9"/>
  <c r="G245" i="9"/>
  <c r="H245" i="9"/>
  <c r="G246" i="9"/>
  <c r="H246" i="9"/>
  <c r="G247" i="9"/>
  <c r="H247" i="9"/>
  <c r="G248" i="9"/>
  <c r="H248" i="9"/>
  <c r="G249" i="9"/>
  <c r="H249" i="9"/>
  <c r="G250" i="9"/>
  <c r="H250" i="9"/>
  <c r="G251" i="9"/>
  <c r="H251" i="9"/>
  <c r="G252" i="9"/>
  <c r="H252" i="9"/>
  <c r="G253" i="9"/>
  <c r="H253" i="9"/>
  <c r="G254" i="9"/>
  <c r="H254" i="9"/>
  <c r="G255" i="9"/>
  <c r="H255" i="9"/>
  <c r="G256" i="9"/>
  <c r="H256" i="9"/>
  <c r="G257" i="9"/>
  <c r="H257" i="9"/>
  <c r="G258" i="9"/>
  <c r="H258" i="9"/>
  <c r="G259" i="9"/>
  <c r="H259" i="9"/>
  <c r="G260" i="9"/>
  <c r="H260" i="9"/>
  <c r="G261" i="9"/>
  <c r="H261" i="9"/>
  <c r="G262" i="9"/>
  <c r="H262" i="9"/>
  <c r="G263" i="9"/>
  <c r="H263" i="9"/>
  <c r="G264" i="9"/>
  <c r="H264" i="9"/>
  <c r="G265" i="9"/>
  <c r="H265" i="9"/>
  <c r="G266" i="9"/>
  <c r="H266" i="9"/>
  <c r="G267" i="9"/>
  <c r="H267" i="9"/>
  <c r="G268" i="9"/>
  <c r="H268" i="9"/>
  <c r="G269" i="9"/>
  <c r="H269" i="9"/>
  <c r="G270" i="9"/>
  <c r="H270" i="9"/>
  <c r="G271" i="9"/>
  <c r="H271" i="9"/>
  <c r="G272" i="9"/>
  <c r="H272" i="9"/>
  <c r="G273" i="9"/>
  <c r="H273" i="9"/>
  <c r="G274" i="9"/>
  <c r="H274" i="9"/>
  <c r="G275" i="9"/>
  <c r="H275" i="9"/>
  <c r="G276" i="9"/>
  <c r="H276" i="9"/>
  <c r="G277" i="9"/>
  <c r="H277" i="9"/>
  <c r="G278" i="9"/>
  <c r="H278" i="9"/>
  <c r="G279" i="9"/>
  <c r="H279" i="9"/>
  <c r="G280" i="9"/>
  <c r="H280" i="9"/>
  <c r="G281" i="9"/>
  <c r="H281" i="9"/>
  <c r="G282" i="9"/>
  <c r="H282" i="9"/>
  <c r="G283" i="9"/>
  <c r="H283" i="9"/>
  <c r="G284" i="9"/>
  <c r="H284" i="9"/>
  <c r="G285" i="9"/>
  <c r="H285" i="9"/>
  <c r="G286" i="9"/>
  <c r="H286" i="9"/>
  <c r="G287" i="9"/>
  <c r="H287" i="9"/>
  <c r="G288" i="9"/>
  <c r="H288" i="9"/>
  <c r="G289" i="9"/>
  <c r="H289" i="9"/>
  <c r="G290" i="9"/>
  <c r="H290" i="9"/>
  <c r="G291" i="9"/>
  <c r="H291" i="9"/>
  <c r="G292" i="9"/>
  <c r="H292" i="9"/>
  <c r="G293" i="9"/>
  <c r="H293" i="9"/>
  <c r="G294" i="9"/>
  <c r="H294" i="9"/>
  <c r="G295" i="9"/>
  <c r="H295" i="9"/>
  <c r="G296" i="9"/>
  <c r="H296" i="9"/>
  <c r="G297" i="9"/>
  <c r="H297" i="9"/>
  <c r="G298" i="9"/>
  <c r="H298" i="9"/>
  <c r="G299" i="9"/>
  <c r="H299" i="9"/>
  <c r="G300" i="9"/>
  <c r="H300" i="9"/>
  <c r="G301" i="9"/>
  <c r="H301" i="9"/>
  <c r="G302" i="9"/>
  <c r="H302" i="9"/>
  <c r="G303" i="9"/>
  <c r="H303" i="9"/>
  <c r="G304" i="9"/>
  <c r="H304" i="9"/>
  <c r="G305" i="9"/>
  <c r="H305" i="9"/>
  <c r="G306" i="9"/>
  <c r="H306" i="9"/>
  <c r="G307" i="9"/>
  <c r="H307" i="9"/>
  <c r="G308" i="9"/>
  <c r="H308" i="9"/>
  <c r="G309" i="9"/>
  <c r="H309" i="9"/>
  <c r="G310" i="9"/>
  <c r="H310" i="9"/>
  <c r="G311" i="9"/>
  <c r="H311" i="9"/>
  <c r="G312" i="9"/>
  <c r="H312" i="9"/>
  <c r="G313" i="9"/>
  <c r="H313" i="9"/>
  <c r="G314" i="9"/>
  <c r="H314" i="9"/>
  <c r="G315" i="9"/>
  <c r="H315" i="9"/>
  <c r="G316" i="9"/>
  <c r="H316" i="9"/>
  <c r="G317" i="9"/>
  <c r="H317" i="9"/>
  <c r="G318" i="9"/>
  <c r="H318" i="9"/>
  <c r="G319" i="9"/>
  <c r="H319" i="9"/>
  <c r="G320" i="9"/>
  <c r="H320" i="9"/>
  <c r="G321" i="9"/>
  <c r="H321" i="9"/>
  <c r="G322" i="9"/>
  <c r="H322" i="9"/>
  <c r="G323" i="9"/>
  <c r="H323" i="9"/>
  <c r="G324" i="9"/>
  <c r="H324" i="9"/>
  <c r="G325" i="9"/>
  <c r="H325" i="9"/>
  <c r="G326" i="9"/>
  <c r="H326" i="9"/>
  <c r="G327" i="9"/>
  <c r="H327" i="9"/>
  <c r="G328" i="9"/>
  <c r="H328" i="9"/>
  <c r="G329" i="9"/>
  <c r="H329" i="9"/>
  <c r="G330" i="9"/>
  <c r="H330" i="9"/>
  <c r="G331" i="9"/>
  <c r="H331" i="9"/>
  <c r="G332" i="9"/>
  <c r="H332" i="9"/>
  <c r="G333" i="9"/>
  <c r="H333" i="9"/>
  <c r="G334" i="9"/>
  <c r="H334" i="9"/>
  <c r="G335" i="9"/>
  <c r="H335" i="9"/>
  <c r="G336" i="9"/>
  <c r="H336" i="9"/>
  <c r="G337" i="9"/>
  <c r="H337" i="9"/>
  <c r="G338" i="9"/>
  <c r="H338" i="9"/>
  <c r="G339" i="9"/>
  <c r="H339" i="9"/>
  <c r="G340" i="9"/>
  <c r="H340" i="9"/>
  <c r="G341" i="9"/>
  <c r="H341" i="9"/>
  <c r="G342" i="9"/>
  <c r="H342" i="9"/>
  <c r="G343" i="9"/>
  <c r="H343" i="9"/>
  <c r="G344" i="9"/>
  <c r="H344" i="9"/>
  <c r="G345" i="9"/>
  <c r="H345" i="9"/>
  <c r="G346" i="9"/>
  <c r="H346" i="9"/>
  <c r="G347" i="9"/>
  <c r="H347" i="9"/>
  <c r="G348" i="9"/>
  <c r="H348" i="9"/>
  <c r="G349" i="9"/>
  <c r="H349" i="9"/>
  <c r="G350" i="9"/>
  <c r="H350" i="9"/>
  <c r="G351" i="9"/>
  <c r="H351" i="9"/>
  <c r="G352" i="9"/>
  <c r="H352" i="9"/>
  <c r="G353" i="9"/>
  <c r="H353" i="9"/>
  <c r="G354" i="9"/>
  <c r="H354" i="9"/>
  <c r="G355" i="9"/>
  <c r="H355" i="9"/>
  <c r="G356" i="9"/>
  <c r="H356" i="9"/>
  <c r="G357" i="9"/>
  <c r="H357" i="9"/>
  <c r="G358" i="9"/>
  <c r="H358" i="9"/>
  <c r="G359" i="9"/>
  <c r="H359" i="9"/>
  <c r="G360" i="9"/>
  <c r="H360" i="9"/>
  <c r="G361" i="9"/>
  <c r="H361" i="9"/>
  <c r="G362" i="9"/>
  <c r="H362" i="9"/>
  <c r="G363" i="9"/>
  <c r="H363" i="9"/>
  <c r="G364" i="9"/>
  <c r="H364" i="9"/>
  <c r="G365" i="9"/>
  <c r="H365" i="9"/>
  <c r="G366" i="9"/>
  <c r="H366" i="9"/>
  <c r="G367" i="9"/>
  <c r="H367" i="9"/>
  <c r="G368" i="9"/>
  <c r="H368" i="9"/>
  <c r="G369" i="9"/>
  <c r="H369" i="9"/>
  <c r="G370" i="9"/>
  <c r="H370" i="9"/>
  <c r="G371" i="9"/>
  <c r="H371" i="9"/>
  <c r="G372" i="9"/>
  <c r="H372" i="9"/>
  <c r="G373" i="9"/>
  <c r="H373" i="9"/>
  <c r="G374" i="9"/>
  <c r="H374" i="9"/>
  <c r="G375" i="9"/>
  <c r="H375" i="9"/>
  <c r="G376" i="9"/>
  <c r="H376" i="9"/>
  <c r="G377" i="9"/>
  <c r="H377" i="9"/>
  <c r="G378" i="9"/>
  <c r="H378" i="9"/>
  <c r="G379" i="9"/>
  <c r="H379" i="9"/>
  <c r="G380" i="9"/>
  <c r="H380" i="9"/>
  <c r="G381" i="9"/>
  <c r="H381" i="9"/>
  <c r="G382" i="9"/>
  <c r="H382" i="9"/>
  <c r="G383" i="9"/>
  <c r="H383" i="9"/>
  <c r="G384" i="9"/>
  <c r="H384" i="9"/>
  <c r="G385" i="9"/>
  <c r="H385" i="9"/>
  <c r="G386" i="9"/>
  <c r="H386" i="9"/>
  <c r="G387" i="9"/>
  <c r="H387" i="9"/>
  <c r="G388" i="9"/>
  <c r="H388" i="9"/>
  <c r="G389" i="9"/>
  <c r="H389" i="9"/>
  <c r="G390" i="9"/>
  <c r="H390" i="9"/>
  <c r="G391" i="9"/>
  <c r="H391" i="9"/>
  <c r="G392" i="9"/>
  <c r="H392" i="9"/>
  <c r="G393" i="9"/>
  <c r="H393" i="9"/>
  <c r="G394" i="9"/>
  <c r="H394" i="9"/>
  <c r="G395" i="9"/>
  <c r="H395" i="9"/>
  <c r="G396" i="9"/>
  <c r="H396" i="9"/>
  <c r="G397" i="9"/>
  <c r="H397" i="9"/>
  <c r="G398" i="9"/>
  <c r="H398" i="9"/>
  <c r="G399" i="9"/>
  <c r="H399" i="9"/>
  <c r="G400" i="9"/>
  <c r="H400" i="9"/>
  <c r="G401" i="9"/>
  <c r="H401" i="9"/>
  <c r="G402" i="9"/>
  <c r="H402" i="9"/>
  <c r="G403" i="9"/>
  <c r="H403" i="9"/>
  <c r="G404" i="9"/>
  <c r="H404" i="9"/>
  <c r="G405" i="9"/>
  <c r="H405" i="9"/>
  <c r="G406" i="9"/>
  <c r="H406" i="9"/>
  <c r="G407" i="9"/>
  <c r="H407" i="9"/>
  <c r="G408" i="9"/>
  <c r="H408" i="9"/>
  <c r="G409" i="9"/>
  <c r="H409" i="9"/>
  <c r="G410" i="9"/>
  <c r="H410" i="9"/>
  <c r="G411" i="9"/>
  <c r="H411" i="9"/>
  <c r="G412" i="9"/>
  <c r="H412" i="9"/>
  <c r="G413" i="9"/>
  <c r="H413" i="9"/>
  <c r="G414" i="9"/>
  <c r="H414" i="9"/>
  <c r="G415" i="9"/>
  <c r="H415" i="9"/>
  <c r="G416" i="9"/>
  <c r="H416" i="9"/>
  <c r="G417" i="9"/>
  <c r="H417" i="9"/>
  <c r="G418" i="9"/>
  <c r="H418" i="9"/>
  <c r="G419" i="9"/>
  <c r="H419" i="9"/>
  <c r="G420" i="9"/>
  <c r="H420" i="9"/>
  <c r="G421" i="9"/>
  <c r="H421" i="9"/>
  <c r="G422" i="9"/>
  <c r="H422" i="9"/>
  <c r="G423" i="9"/>
  <c r="H423" i="9"/>
  <c r="G424" i="9"/>
  <c r="H424" i="9"/>
  <c r="G425" i="9"/>
  <c r="H425" i="9"/>
  <c r="G426" i="9"/>
  <c r="H426" i="9"/>
  <c r="G427" i="9"/>
  <c r="H427" i="9"/>
  <c r="G428" i="9"/>
  <c r="H428" i="9"/>
  <c r="G429" i="9"/>
  <c r="H429" i="9"/>
  <c r="G430" i="9"/>
  <c r="H430" i="9"/>
  <c r="G431" i="9"/>
  <c r="H431" i="9"/>
  <c r="G432" i="9"/>
  <c r="H432" i="9"/>
  <c r="G433" i="9"/>
  <c r="H433" i="9"/>
  <c r="G434" i="9"/>
  <c r="H434" i="9"/>
  <c r="G435" i="9"/>
  <c r="H435" i="9"/>
  <c r="G436" i="9"/>
  <c r="H436" i="9"/>
  <c r="G437" i="9"/>
  <c r="H437" i="9"/>
  <c r="G438" i="9"/>
  <c r="H438" i="9"/>
  <c r="G439" i="9"/>
  <c r="H439" i="9"/>
  <c r="G440" i="9"/>
  <c r="H440" i="9"/>
  <c r="G441" i="9"/>
  <c r="H441" i="9"/>
  <c r="G442" i="9"/>
  <c r="H442" i="9"/>
  <c r="G443" i="9"/>
  <c r="H443" i="9"/>
  <c r="G444" i="9"/>
  <c r="H444" i="9"/>
  <c r="G445" i="9"/>
  <c r="H445" i="9"/>
  <c r="G446" i="9"/>
  <c r="H446" i="9"/>
  <c r="G447" i="9"/>
  <c r="H447" i="9"/>
  <c r="G448" i="9"/>
  <c r="H448" i="9"/>
  <c r="G449" i="9"/>
  <c r="H449" i="9"/>
  <c r="G450" i="9"/>
  <c r="H450" i="9"/>
  <c r="G451" i="9"/>
  <c r="H451" i="9"/>
  <c r="G452" i="9"/>
  <c r="H452" i="9"/>
  <c r="G453" i="9"/>
  <c r="H453" i="9"/>
  <c r="G454" i="9"/>
  <c r="H454" i="9"/>
  <c r="G455" i="9"/>
  <c r="H455" i="9"/>
  <c r="G456" i="9"/>
  <c r="H456" i="9"/>
  <c r="G457" i="9"/>
  <c r="H457" i="9"/>
  <c r="G458" i="9"/>
  <c r="H458" i="9"/>
  <c r="G459" i="9"/>
  <c r="H459" i="9"/>
  <c r="G460" i="9"/>
  <c r="H460" i="9"/>
  <c r="G461" i="9"/>
  <c r="H461" i="9"/>
  <c r="G462" i="9"/>
  <c r="H462" i="9"/>
  <c r="G463" i="9"/>
  <c r="H463" i="9"/>
  <c r="G464" i="9"/>
  <c r="H464" i="9"/>
  <c r="G465" i="9"/>
  <c r="H465" i="9"/>
  <c r="G466" i="9"/>
  <c r="H466" i="9"/>
  <c r="G467" i="9"/>
  <c r="H467" i="9"/>
  <c r="G468" i="9"/>
  <c r="H468" i="9"/>
  <c r="G469" i="9"/>
  <c r="H469" i="9"/>
  <c r="G470" i="9"/>
  <c r="H470" i="9"/>
  <c r="G471" i="9"/>
  <c r="H471" i="9"/>
  <c r="G472" i="9"/>
  <c r="H472" i="9"/>
  <c r="G473" i="9"/>
  <c r="H473" i="9"/>
  <c r="G474" i="9"/>
  <c r="H474" i="9"/>
  <c r="G475" i="9"/>
  <c r="H475" i="9"/>
  <c r="G476" i="9"/>
  <c r="H476" i="9"/>
  <c r="G477" i="9"/>
  <c r="H477" i="9"/>
  <c r="G478" i="9"/>
  <c r="H478" i="9"/>
  <c r="G479" i="9"/>
  <c r="H479" i="9"/>
  <c r="G480" i="9"/>
  <c r="H480" i="9"/>
  <c r="G481" i="9"/>
  <c r="H481" i="9"/>
  <c r="G482" i="9"/>
  <c r="H482" i="9"/>
  <c r="G483" i="9"/>
  <c r="H483" i="9"/>
  <c r="G484" i="9"/>
  <c r="H484" i="9"/>
  <c r="G485" i="9"/>
  <c r="H485" i="9"/>
  <c r="G486" i="9"/>
  <c r="H486" i="9"/>
  <c r="G487" i="9"/>
  <c r="H487" i="9"/>
  <c r="G488" i="9"/>
  <c r="H488" i="9"/>
  <c r="G489" i="9"/>
  <c r="H489" i="9"/>
  <c r="G490" i="9"/>
  <c r="H490" i="9"/>
  <c r="G491" i="9"/>
  <c r="H491" i="9"/>
  <c r="G492" i="9"/>
  <c r="H492" i="9"/>
  <c r="G493" i="9"/>
  <c r="H493" i="9"/>
  <c r="G494" i="9"/>
  <c r="H494" i="9"/>
  <c r="G495" i="9"/>
  <c r="H495" i="9"/>
  <c r="G496" i="9"/>
  <c r="H496" i="9"/>
  <c r="G497" i="9"/>
  <c r="H497" i="9"/>
  <c r="G498" i="9"/>
  <c r="H498" i="9"/>
  <c r="G499" i="9"/>
  <c r="H499" i="9"/>
  <c r="G500" i="9"/>
  <c r="H500" i="9"/>
  <c r="G501" i="9"/>
  <c r="H501" i="9"/>
  <c r="G502" i="9"/>
  <c r="H502" i="9"/>
  <c r="G503" i="9"/>
  <c r="H503" i="9"/>
  <c r="G504" i="9"/>
  <c r="H504" i="9"/>
  <c r="G505" i="9"/>
  <c r="H505" i="9"/>
  <c r="G506" i="9"/>
  <c r="H506" i="9"/>
  <c r="G507" i="9"/>
  <c r="H507" i="9"/>
  <c r="G508" i="9"/>
  <c r="H508" i="9"/>
  <c r="G509" i="9"/>
  <c r="H509" i="9"/>
  <c r="G510" i="9"/>
  <c r="H510" i="9"/>
  <c r="G511" i="9"/>
  <c r="H511" i="9"/>
  <c r="G512" i="9"/>
  <c r="H512" i="9"/>
  <c r="G513" i="9"/>
  <c r="H513" i="9"/>
  <c r="G514" i="9"/>
  <c r="H514" i="9"/>
  <c r="G515" i="9"/>
  <c r="H515" i="9"/>
  <c r="G516" i="9"/>
  <c r="H516" i="9"/>
  <c r="G517" i="9"/>
  <c r="H517" i="9"/>
  <c r="G518" i="9"/>
  <c r="H518" i="9"/>
  <c r="G519" i="9"/>
  <c r="H519" i="9"/>
  <c r="G520" i="9"/>
  <c r="H520" i="9"/>
  <c r="G521" i="9"/>
  <c r="H521" i="9"/>
  <c r="G522" i="9"/>
  <c r="H522" i="9"/>
  <c r="G523" i="9"/>
  <c r="H523" i="9"/>
  <c r="G524" i="9"/>
  <c r="H524" i="9"/>
  <c r="G525" i="9"/>
  <c r="H525" i="9"/>
  <c r="G526" i="9"/>
  <c r="H526" i="9"/>
  <c r="G527" i="9"/>
  <c r="H527" i="9"/>
  <c r="G528" i="9"/>
  <c r="H528" i="9"/>
  <c r="G529" i="9"/>
  <c r="H529" i="9"/>
  <c r="G530" i="9"/>
  <c r="H530" i="9"/>
  <c r="G531" i="9"/>
  <c r="H531" i="9"/>
  <c r="G532" i="9"/>
  <c r="H532" i="9"/>
  <c r="G533" i="9"/>
  <c r="H533" i="9"/>
  <c r="G534" i="9"/>
  <c r="H534" i="9"/>
  <c r="G535" i="9"/>
  <c r="H535" i="9"/>
  <c r="G536" i="9"/>
  <c r="H536" i="9"/>
  <c r="G537" i="9"/>
  <c r="H537" i="9"/>
  <c r="G538" i="9"/>
  <c r="H538" i="9"/>
  <c r="G539" i="9"/>
  <c r="H539" i="9"/>
  <c r="G540" i="9"/>
  <c r="H540" i="9"/>
  <c r="G541" i="9"/>
  <c r="H541" i="9"/>
  <c r="G542" i="9"/>
  <c r="H542" i="9"/>
  <c r="G543" i="9"/>
  <c r="H543" i="9"/>
  <c r="G544" i="9"/>
  <c r="H544" i="9"/>
  <c r="G545" i="9"/>
  <c r="H545" i="9"/>
  <c r="G546" i="9"/>
  <c r="H546" i="9"/>
  <c r="G547" i="9"/>
  <c r="H547" i="9"/>
  <c r="G548" i="9"/>
  <c r="H548" i="9"/>
  <c r="G549" i="9"/>
  <c r="H549" i="9"/>
  <c r="G550" i="9"/>
  <c r="H550" i="9"/>
  <c r="G551" i="9"/>
  <c r="H551" i="9"/>
  <c r="G552" i="9"/>
  <c r="H552" i="9"/>
  <c r="G553" i="9"/>
  <c r="H553" i="9"/>
  <c r="G554" i="9"/>
  <c r="H554" i="9"/>
  <c r="G555" i="9"/>
  <c r="H555" i="9"/>
  <c r="G556" i="9"/>
  <c r="H556" i="9"/>
  <c r="G557" i="9"/>
  <c r="H557" i="9"/>
  <c r="G558" i="9"/>
  <c r="H558" i="9"/>
  <c r="G559" i="9"/>
  <c r="H559" i="9"/>
  <c r="G560" i="9"/>
  <c r="H560" i="9"/>
  <c r="G561" i="9"/>
  <c r="H561" i="9"/>
  <c r="G562" i="9"/>
  <c r="H562" i="9"/>
  <c r="G563" i="9"/>
  <c r="H563" i="9"/>
  <c r="G564" i="9"/>
  <c r="H564" i="9"/>
  <c r="G565" i="9"/>
  <c r="H565" i="9"/>
  <c r="G566" i="9"/>
  <c r="H566" i="9"/>
  <c r="G567" i="9"/>
  <c r="H567" i="9"/>
  <c r="G568" i="9"/>
  <c r="H568" i="9"/>
  <c r="G569" i="9"/>
  <c r="H569" i="9"/>
  <c r="G570" i="9"/>
  <c r="H570" i="9"/>
  <c r="G571" i="9"/>
  <c r="H571" i="9"/>
  <c r="G572" i="9"/>
  <c r="H572" i="9"/>
  <c r="G573" i="9"/>
  <c r="H573" i="9"/>
  <c r="G574" i="9"/>
  <c r="H574" i="9"/>
  <c r="G575" i="9"/>
  <c r="H575" i="9"/>
  <c r="G576" i="9"/>
  <c r="H576" i="9"/>
  <c r="G577" i="9"/>
  <c r="H577" i="9"/>
  <c r="G578" i="9"/>
  <c r="H578" i="9"/>
  <c r="G579" i="9"/>
  <c r="H579" i="9"/>
  <c r="G580" i="9"/>
  <c r="H580" i="9"/>
  <c r="G581" i="9"/>
  <c r="H581" i="9"/>
  <c r="G582" i="9"/>
  <c r="H582" i="9"/>
  <c r="G583" i="9"/>
  <c r="H583" i="9"/>
  <c r="G584" i="9"/>
  <c r="H584" i="9"/>
  <c r="G585" i="9"/>
  <c r="H585" i="9"/>
  <c r="G586" i="9"/>
  <c r="H586" i="9"/>
  <c r="G587" i="9"/>
  <c r="H587" i="9"/>
  <c r="G588" i="9"/>
  <c r="H588" i="9"/>
  <c r="G589" i="9"/>
  <c r="H589" i="9"/>
  <c r="G590" i="9"/>
  <c r="H590" i="9"/>
  <c r="G591" i="9"/>
  <c r="H591" i="9"/>
  <c r="G592" i="9"/>
  <c r="H592" i="9"/>
  <c r="G593" i="9"/>
  <c r="H593" i="9"/>
  <c r="G594" i="9"/>
  <c r="H594" i="9"/>
  <c r="G595" i="9"/>
  <c r="H595" i="9"/>
  <c r="G596" i="9"/>
  <c r="H596" i="9"/>
  <c r="G597" i="9"/>
  <c r="H597" i="9"/>
  <c r="G598" i="9"/>
  <c r="H598" i="9"/>
  <c r="G599" i="9"/>
  <c r="H599" i="9"/>
  <c r="G600" i="9"/>
  <c r="H600" i="9"/>
  <c r="G601" i="9"/>
  <c r="H601" i="9"/>
  <c r="G602" i="9"/>
  <c r="H602" i="9"/>
  <c r="G603" i="9"/>
  <c r="H603" i="9"/>
  <c r="G604" i="9"/>
  <c r="H604" i="9"/>
  <c r="G605" i="9"/>
  <c r="H605" i="9"/>
  <c r="G606" i="9"/>
  <c r="H606" i="9"/>
  <c r="G607" i="9"/>
  <c r="H607" i="9"/>
  <c r="G608" i="9"/>
  <c r="H608" i="9"/>
  <c r="G609" i="9"/>
  <c r="H609" i="9"/>
  <c r="G610" i="9"/>
  <c r="H610" i="9"/>
  <c r="G611" i="9"/>
  <c r="H611" i="9"/>
  <c r="G612" i="9"/>
  <c r="H612" i="9"/>
  <c r="G613" i="9"/>
  <c r="H613" i="9"/>
  <c r="G614" i="9"/>
  <c r="H614" i="9"/>
  <c r="G615" i="9"/>
  <c r="H615" i="9"/>
  <c r="E2" i="3"/>
  <c r="F2" i="3" s="1"/>
  <c r="E3" i="3"/>
  <c r="F3" i="3" s="1"/>
  <c r="E4" i="3"/>
  <c r="F4" i="3" s="1"/>
  <c r="E5" i="3"/>
  <c r="F5" i="3" s="1"/>
  <c r="E6" i="3"/>
  <c r="F6" i="3" s="1"/>
  <c r="E7" i="3"/>
  <c r="F7" i="3" s="1"/>
  <c r="E8" i="3"/>
  <c r="F8" i="3" s="1"/>
  <c r="E9" i="3"/>
  <c r="F9" i="3" s="1"/>
  <c r="E10" i="3"/>
  <c r="F10" i="3" s="1"/>
  <c r="E11" i="3"/>
  <c r="F11" i="3" s="1"/>
  <c r="E12" i="3"/>
  <c r="F12" i="3" s="1"/>
  <c r="E13" i="3"/>
  <c r="F13" i="3" s="1"/>
  <c r="E14" i="3"/>
  <c r="F14" i="3" s="1"/>
  <c r="E15" i="3"/>
  <c r="F15" i="3" s="1"/>
  <c r="E16" i="3"/>
  <c r="F16" i="3" s="1"/>
  <c r="E17" i="3"/>
  <c r="F17" i="3" s="1"/>
  <c r="E18" i="3"/>
  <c r="F18" i="3" s="1"/>
  <c r="E19" i="3"/>
  <c r="F19" i="3" s="1"/>
  <c r="E20" i="3"/>
  <c r="F20" i="3" s="1"/>
  <c r="E21" i="3"/>
  <c r="F21" i="3" s="1"/>
  <c r="E22" i="3"/>
  <c r="F22" i="3" s="1"/>
  <c r="E23" i="3"/>
  <c r="F23" i="3" s="1"/>
  <c r="E24" i="3"/>
  <c r="F24" i="3" s="1"/>
  <c r="E25" i="3"/>
  <c r="F25" i="3" s="1"/>
  <c r="E26" i="3"/>
  <c r="F26" i="3" s="1"/>
  <c r="E27" i="3"/>
  <c r="F27" i="3" s="1"/>
  <c r="E28" i="3"/>
  <c r="F28" i="3" s="1"/>
  <c r="E29" i="3"/>
  <c r="F29" i="3" s="1"/>
  <c r="E30" i="3"/>
  <c r="F30" i="3" s="1"/>
  <c r="E31" i="3"/>
  <c r="F31" i="3" s="1"/>
  <c r="E32" i="3"/>
  <c r="F32" i="3" s="1"/>
  <c r="E33" i="3"/>
  <c r="F33" i="3" s="1"/>
  <c r="E34" i="3"/>
  <c r="F34" i="3" s="1"/>
  <c r="E35" i="3"/>
  <c r="F35" i="3" s="1"/>
  <c r="E36" i="3"/>
  <c r="F36" i="3" s="1"/>
  <c r="E37" i="3"/>
  <c r="F37" i="3" s="1"/>
  <c r="E38" i="3"/>
  <c r="F38" i="3" s="1"/>
  <c r="E39" i="3"/>
  <c r="F39" i="3" s="1"/>
  <c r="E40" i="3"/>
  <c r="F40" i="3" s="1"/>
  <c r="E41" i="3"/>
  <c r="F41" i="3" s="1"/>
  <c r="E42" i="3"/>
  <c r="F42" i="3" s="1"/>
  <c r="E43" i="3"/>
  <c r="F43" i="3" s="1"/>
  <c r="E44" i="3"/>
  <c r="F44" i="3" s="1"/>
  <c r="E45" i="3"/>
  <c r="F45" i="3" s="1"/>
  <c r="E46" i="3"/>
  <c r="F46" i="3" s="1"/>
  <c r="E47" i="3"/>
  <c r="F47" i="3" s="1"/>
  <c r="E48" i="3"/>
  <c r="F48" i="3" s="1"/>
  <c r="E49" i="3"/>
  <c r="F49" i="3" s="1"/>
  <c r="E50" i="3"/>
  <c r="F50" i="3" s="1"/>
  <c r="E51" i="3"/>
  <c r="F51" i="3" s="1"/>
  <c r="E52" i="3"/>
  <c r="F52" i="3" s="1"/>
  <c r="E53" i="3"/>
  <c r="F53" i="3" s="1"/>
  <c r="E54" i="3"/>
  <c r="F54" i="3" s="1"/>
  <c r="E55" i="3"/>
  <c r="F55" i="3" s="1"/>
  <c r="E56" i="3"/>
  <c r="F56" i="3" s="1"/>
  <c r="E57" i="3"/>
  <c r="F57" i="3" s="1"/>
  <c r="E58" i="3"/>
  <c r="F58" i="3" s="1"/>
  <c r="E59" i="3"/>
  <c r="F59" i="3" s="1"/>
  <c r="E60" i="3"/>
  <c r="F60" i="3" s="1"/>
  <c r="E61" i="3"/>
  <c r="F61" i="3" s="1"/>
  <c r="E62" i="3"/>
  <c r="F62" i="3" s="1"/>
  <c r="E63" i="3"/>
  <c r="F63" i="3" s="1"/>
  <c r="E64" i="3"/>
  <c r="F64" i="3" s="1"/>
  <c r="E65" i="3"/>
  <c r="F65" i="3" s="1"/>
  <c r="E66" i="3"/>
  <c r="F66" i="3" s="1"/>
  <c r="E67" i="3"/>
  <c r="F67" i="3" s="1"/>
  <c r="E68" i="3"/>
  <c r="F68" i="3" s="1"/>
  <c r="E69" i="3"/>
  <c r="F69" i="3" s="1"/>
  <c r="E70" i="3"/>
  <c r="F70" i="3" s="1"/>
  <c r="E71" i="3"/>
  <c r="F71" i="3" s="1"/>
  <c r="E72" i="3"/>
  <c r="F72" i="3" s="1"/>
  <c r="E73" i="3"/>
  <c r="F73" i="3" s="1"/>
  <c r="E74" i="3"/>
  <c r="F74" i="3" s="1"/>
  <c r="E75" i="3"/>
  <c r="F75" i="3" s="1"/>
  <c r="E76" i="3"/>
  <c r="F76" i="3" s="1"/>
  <c r="E77" i="3"/>
  <c r="F77" i="3" s="1"/>
  <c r="E78" i="3"/>
  <c r="F78" i="3" s="1"/>
  <c r="E79" i="3"/>
  <c r="F79" i="3" s="1"/>
  <c r="E80" i="3"/>
  <c r="F80" i="3" s="1"/>
  <c r="E81" i="3"/>
  <c r="F81" i="3" s="1"/>
  <c r="E82" i="3"/>
  <c r="F82" i="3" s="1"/>
  <c r="E83" i="3"/>
  <c r="F83" i="3" s="1"/>
  <c r="E84" i="3"/>
  <c r="F84" i="3" s="1"/>
  <c r="E85" i="3"/>
  <c r="F85" i="3" s="1"/>
  <c r="E86" i="3"/>
  <c r="F86" i="3" s="1"/>
  <c r="E87" i="3"/>
  <c r="F87" i="3" s="1"/>
  <c r="E88" i="3"/>
  <c r="F88" i="3" s="1"/>
  <c r="E89" i="3"/>
  <c r="F89" i="3" s="1"/>
  <c r="E90" i="3"/>
  <c r="F90" i="3" s="1"/>
  <c r="E91" i="3"/>
  <c r="F91" i="3" s="1"/>
  <c r="E92" i="3"/>
  <c r="F92" i="3" s="1"/>
  <c r="E93" i="3"/>
  <c r="F93" i="3" s="1"/>
  <c r="E94" i="3"/>
  <c r="F94" i="3" s="1"/>
  <c r="E95" i="3"/>
  <c r="F95" i="3" s="1"/>
  <c r="E96" i="3"/>
  <c r="F96" i="3" s="1"/>
  <c r="E97" i="3"/>
  <c r="F97" i="3" s="1"/>
  <c r="E98" i="3"/>
  <c r="F98" i="3" s="1"/>
  <c r="E99" i="3"/>
  <c r="F99" i="3" s="1"/>
  <c r="E100" i="3"/>
  <c r="F100" i="3" s="1"/>
  <c r="E101" i="3"/>
  <c r="F101" i="3" s="1"/>
  <c r="E102" i="3"/>
  <c r="F102" i="3" s="1"/>
  <c r="E103" i="3"/>
  <c r="F103" i="3" s="1"/>
  <c r="E104" i="3"/>
  <c r="F104" i="3" s="1"/>
  <c r="E105" i="3"/>
  <c r="F105" i="3" s="1"/>
  <c r="E106" i="3"/>
  <c r="F106" i="3" s="1"/>
  <c r="E107" i="3"/>
  <c r="F107" i="3" s="1"/>
  <c r="E108" i="3"/>
  <c r="F108" i="3" s="1"/>
  <c r="E109" i="3"/>
  <c r="F109" i="3" s="1"/>
  <c r="E110" i="3"/>
  <c r="F110" i="3" s="1"/>
  <c r="E111" i="3"/>
  <c r="F111" i="3" s="1"/>
  <c r="E112" i="3"/>
  <c r="F112" i="3" s="1"/>
  <c r="E113" i="3"/>
  <c r="F113" i="3" s="1"/>
  <c r="E114" i="3"/>
  <c r="F114" i="3" s="1"/>
  <c r="E115" i="3"/>
  <c r="F115" i="3" s="1"/>
  <c r="E116" i="3"/>
  <c r="F116" i="3" s="1"/>
  <c r="E117" i="3"/>
  <c r="F117" i="3" s="1"/>
  <c r="E118" i="3"/>
  <c r="F118" i="3" s="1"/>
  <c r="E119" i="3"/>
  <c r="F119" i="3" s="1"/>
  <c r="E120" i="3"/>
  <c r="F120" i="3" s="1"/>
  <c r="E121" i="3"/>
  <c r="F121" i="3" s="1"/>
  <c r="E122" i="3"/>
  <c r="F122" i="3" s="1"/>
  <c r="E123" i="3"/>
  <c r="F123" i="3" s="1"/>
  <c r="E124" i="3"/>
  <c r="F124" i="3" s="1"/>
  <c r="E125" i="3"/>
  <c r="F125" i="3" s="1"/>
  <c r="E126" i="3"/>
  <c r="F126" i="3" s="1"/>
  <c r="E127" i="3"/>
  <c r="F127" i="3" s="1"/>
  <c r="E128" i="3"/>
  <c r="F128" i="3" s="1"/>
  <c r="E129" i="3"/>
  <c r="F129" i="3" s="1"/>
  <c r="E130" i="3"/>
  <c r="F130" i="3" s="1"/>
  <c r="E131" i="3"/>
  <c r="F131" i="3" s="1"/>
  <c r="E132" i="3"/>
  <c r="F132" i="3" s="1"/>
  <c r="E133" i="3"/>
  <c r="F133" i="3" s="1"/>
  <c r="E134" i="3"/>
  <c r="F134" i="3" s="1"/>
  <c r="E135" i="3"/>
  <c r="F135" i="3" s="1"/>
  <c r="E136" i="3"/>
  <c r="F136" i="3" s="1"/>
  <c r="E137" i="3"/>
  <c r="F137" i="3" s="1"/>
  <c r="E138" i="3"/>
  <c r="F138" i="3" s="1"/>
  <c r="E139" i="3"/>
  <c r="F139" i="3" s="1"/>
  <c r="E140" i="3"/>
  <c r="F140" i="3" s="1"/>
  <c r="E141" i="3"/>
  <c r="F141" i="3" s="1"/>
  <c r="E142" i="3"/>
  <c r="F142" i="3" s="1"/>
  <c r="E143" i="3"/>
  <c r="F143" i="3" s="1"/>
  <c r="E144" i="3"/>
  <c r="F144" i="3" s="1"/>
  <c r="E145" i="3"/>
  <c r="F145" i="3" s="1"/>
  <c r="E146" i="3"/>
  <c r="F146" i="3" s="1"/>
  <c r="E147" i="3"/>
  <c r="F147" i="3" s="1"/>
  <c r="E148" i="3"/>
  <c r="F148" i="3" s="1"/>
  <c r="E149" i="3"/>
  <c r="F149" i="3" s="1"/>
  <c r="E150" i="3"/>
  <c r="F150" i="3" s="1"/>
  <c r="E151" i="3"/>
  <c r="F151" i="3" s="1"/>
  <c r="E152" i="3"/>
  <c r="F152" i="3" s="1"/>
  <c r="E153" i="3"/>
  <c r="F153" i="3" s="1"/>
  <c r="E154" i="3"/>
  <c r="F154" i="3" s="1"/>
  <c r="E155" i="3"/>
  <c r="F155" i="3" s="1"/>
  <c r="E156" i="3"/>
  <c r="F156" i="3" s="1"/>
  <c r="E157" i="3"/>
  <c r="F157" i="3" s="1"/>
  <c r="E158" i="3"/>
  <c r="F158" i="3" s="1"/>
  <c r="E159" i="3"/>
  <c r="F159" i="3" s="1"/>
  <c r="E160" i="3"/>
  <c r="F160" i="3" s="1"/>
  <c r="E161" i="3"/>
  <c r="F161" i="3" s="1"/>
  <c r="E162" i="3"/>
  <c r="F162" i="3" s="1"/>
  <c r="E163" i="3"/>
  <c r="F163" i="3" s="1"/>
  <c r="E164" i="3"/>
  <c r="F164" i="3" s="1"/>
  <c r="E165" i="3"/>
  <c r="F165" i="3" s="1"/>
  <c r="E166" i="3"/>
  <c r="F166" i="3" s="1"/>
  <c r="E167" i="3"/>
  <c r="F167" i="3" s="1"/>
  <c r="E168" i="3"/>
  <c r="F168" i="3" s="1"/>
  <c r="E169" i="3"/>
  <c r="F169" i="3" s="1"/>
  <c r="E170" i="3"/>
  <c r="F170" i="3" s="1"/>
  <c r="E171" i="3"/>
  <c r="F171" i="3" s="1"/>
  <c r="E172" i="3"/>
  <c r="F172" i="3" s="1"/>
  <c r="E173" i="3"/>
  <c r="F173" i="3" s="1"/>
  <c r="E174" i="3"/>
  <c r="F174" i="3" s="1"/>
  <c r="E175" i="3"/>
  <c r="F175" i="3" s="1"/>
  <c r="E176" i="3"/>
  <c r="F176" i="3" s="1"/>
  <c r="E177" i="3"/>
  <c r="F177" i="3" s="1"/>
  <c r="E178" i="3"/>
  <c r="F178" i="3" s="1"/>
  <c r="E179" i="3"/>
  <c r="F179" i="3" s="1"/>
  <c r="E180" i="3"/>
  <c r="F180" i="3" s="1"/>
  <c r="E181" i="3"/>
  <c r="F181" i="3" s="1"/>
  <c r="E182" i="3"/>
  <c r="F182" i="3" s="1"/>
  <c r="E183" i="3"/>
  <c r="F183" i="3" s="1"/>
  <c r="E184" i="3"/>
  <c r="F184" i="3" s="1"/>
  <c r="E185" i="3"/>
  <c r="F185" i="3" s="1"/>
  <c r="E186" i="3"/>
  <c r="F186" i="3" s="1"/>
  <c r="E187" i="3"/>
  <c r="F187" i="3" s="1"/>
  <c r="E188" i="3"/>
  <c r="F188" i="3" s="1"/>
  <c r="E189" i="3"/>
  <c r="F189" i="3" s="1"/>
  <c r="E190" i="3"/>
  <c r="F190" i="3" s="1"/>
  <c r="E191" i="3"/>
  <c r="F191" i="3" s="1"/>
  <c r="E192" i="3"/>
  <c r="F192" i="3" s="1"/>
  <c r="E193" i="3"/>
  <c r="F193" i="3" s="1"/>
  <c r="E194" i="3"/>
  <c r="F194" i="3" s="1"/>
  <c r="E195" i="3"/>
  <c r="F195" i="3" s="1"/>
  <c r="E196" i="3"/>
  <c r="F196" i="3" s="1"/>
  <c r="E197" i="3"/>
  <c r="F197" i="3" s="1"/>
  <c r="E198" i="3"/>
  <c r="F198" i="3" s="1"/>
  <c r="E199" i="3"/>
  <c r="F199" i="3" s="1"/>
  <c r="E200" i="3"/>
  <c r="F200" i="3" s="1"/>
  <c r="E201" i="3"/>
  <c r="F201" i="3" s="1"/>
  <c r="E202" i="3"/>
  <c r="F202" i="3" s="1"/>
  <c r="E203" i="3"/>
  <c r="F203" i="3" s="1"/>
  <c r="E204" i="3"/>
  <c r="F204" i="3" s="1"/>
  <c r="E205" i="3"/>
  <c r="F205" i="3" s="1"/>
  <c r="E206" i="3"/>
  <c r="F206" i="3" s="1"/>
  <c r="E207" i="3"/>
  <c r="F207" i="3" s="1"/>
  <c r="E208" i="3"/>
  <c r="F208" i="3" s="1"/>
  <c r="E209" i="3"/>
  <c r="F209" i="3" s="1"/>
  <c r="E210" i="3"/>
  <c r="F210" i="3" s="1"/>
  <c r="E211" i="3"/>
  <c r="F211" i="3" s="1"/>
  <c r="E212" i="3"/>
  <c r="F212" i="3" s="1"/>
  <c r="E213" i="3"/>
  <c r="F213" i="3" s="1"/>
  <c r="E214" i="3"/>
  <c r="F214" i="3" s="1"/>
  <c r="E215" i="3"/>
  <c r="F215" i="3" s="1"/>
  <c r="E216" i="3"/>
  <c r="F216" i="3" s="1"/>
  <c r="E217" i="3"/>
  <c r="F217" i="3" s="1"/>
  <c r="E218" i="3"/>
  <c r="F218" i="3" s="1"/>
  <c r="E219" i="3"/>
  <c r="F219" i="3" s="1"/>
  <c r="E220" i="3"/>
  <c r="F220" i="3" s="1"/>
  <c r="E221" i="3"/>
  <c r="F221" i="3" s="1"/>
  <c r="E222" i="3"/>
  <c r="F222" i="3" s="1"/>
  <c r="E223" i="3"/>
  <c r="F223" i="3" s="1"/>
  <c r="E224" i="3"/>
  <c r="F224" i="3" s="1"/>
  <c r="E225" i="3"/>
  <c r="F225" i="3" s="1"/>
  <c r="E226" i="3"/>
  <c r="F226" i="3" s="1"/>
  <c r="E227" i="3"/>
  <c r="F227" i="3" s="1"/>
  <c r="E228" i="3"/>
  <c r="F228" i="3" s="1"/>
  <c r="E229" i="3"/>
  <c r="F229" i="3" s="1"/>
  <c r="E230" i="3"/>
  <c r="F230" i="3" s="1"/>
  <c r="E231" i="3"/>
  <c r="F231" i="3" s="1"/>
  <c r="E232" i="3"/>
  <c r="F232" i="3" s="1"/>
  <c r="E233" i="3"/>
  <c r="F233" i="3" s="1"/>
  <c r="E234" i="3"/>
  <c r="F234" i="3" s="1"/>
  <c r="E235" i="3"/>
  <c r="F235" i="3" s="1"/>
  <c r="E236" i="3"/>
  <c r="F236" i="3" s="1"/>
  <c r="E237" i="3"/>
  <c r="F237" i="3" s="1"/>
  <c r="E238" i="3"/>
  <c r="F238" i="3" s="1"/>
  <c r="E239" i="3"/>
  <c r="F239" i="3" s="1"/>
  <c r="E240" i="3"/>
  <c r="F240" i="3" s="1"/>
  <c r="E241" i="3"/>
  <c r="F241" i="3" s="1"/>
  <c r="E242" i="3"/>
  <c r="F242" i="3" s="1"/>
  <c r="E243" i="3"/>
  <c r="F243" i="3" s="1"/>
  <c r="E244" i="3"/>
  <c r="F244" i="3" s="1"/>
  <c r="E245" i="3"/>
  <c r="F245" i="3" s="1"/>
  <c r="E246" i="3"/>
  <c r="F246" i="3" s="1"/>
  <c r="E247" i="3"/>
  <c r="F247" i="3" s="1"/>
  <c r="E248" i="3"/>
  <c r="F248" i="3" s="1"/>
  <c r="E249" i="3"/>
  <c r="F249" i="3" s="1"/>
  <c r="E250" i="3"/>
  <c r="F250" i="3" s="1"/>
  <c r="E251" i="3"/>
  <c r="F251" i="3" s="1"/>
  <c r="E252" i="3"/>
  <c r="F252" i="3" s="1"/>
  <c r="E253" i="3"/>
  <c r="F253" i="3" s="1"/>
  <c r="E254" i="3"/>
  <c r="F254" i="3" s="1"/>
  <c r="E255" i="3"/>
  <c r="F255" i="3" s="1"/>
  <c r="E256" i="3"/>
  <c r="F256" i="3" s="1"/>
  <c r="E257" i="3"/>
  <c r="F257" i="3" s="1"/>
  <c r="E258" i="3"/>
  <c r="F258" i="3" s="1"/>
  <c r="E259" i="3"/>
  <c r="F259" i="3" s="1"/>
  <c r="E260" i="3"/>
  <c r="F260" i="3" s="1"/>
  <c r="E261" i="3"/>
  <c r="F261" i="3" s="1"/>
  <c r="E262" i="3"/>
  <c r="F262" i="3" s="1"/>
  <c r="E263" i="3"/>
  <c r="F263" i="3" s="1"/>
  <c r="E264" i="3"/>
  <c r="F264" i="3" s="1"/>
  <c r="E265" i="3"/>
  <c r="F265" i="3" s="1"/>
  <c r="E266" i="3"/>
  <c r="F266" i="3" s="1"/>
  <c r="E267" i="3"/>
  <c r="F267" i="3" s="1"/>
  <c r="E268" i="3"/>
  <c r="F268" i="3" s="1"/>
  <c r="E269" i="3"/>
  <c r="F269" i="3" s="1"/>
  <c r="E270" i="3"/>
  <c r="F270" i="3" s="1"/>
  <c r="E271" i="3"/>
  <c r="F271" i="3" s="1"/>
  <c r="E272" i="3"/>
  <c r="F272" i="3" s="1"/>
  <c r="E273" i="3"/>
  <c r="F273" i="3" s="1"/>
  <c r="E274" i="3"/>
  <c r="F274" i="3" s="1"/>
  <c r="E275" i="3"/>
  <c r="F275" i="3" s="1"/>
  <c r="E276" i="3"/>
  <c r="F276" i="3" s="1"/>
  <c r="E277" i="3"/>
  <c r="F277" i="3" s="1"/>
  <c r="E278" i="3"/>
  <c r="F278" i="3" s="1"/>
  <c r="E279" i="3"/>
  <c r="F279" i="3" s="1"/>
  <c r="E280" i="3"/>
  <c r="F280" i="3" s="1"/>
  <c r="E281" i="3"/>
  <c r="F281" i="3" s="1"/>
  <c r="E282" i="3"/>
  <c r="F282" i="3" s="1"/>
  <c r="E283" i="3"/>
  <c r="F283" i="3" s="1"/>
  <c r="E284" i="3"/>
  <c r="F284" i="3" s="1"/>
  <c r="E285" i="3"/>
  <c r="F285" i="3" s="1"/>
  <c r="E286" i="3"/>
  <c r="F286" i="3" s="1"/>
  <c r="E287" i="3"/>
  <c r="F287" i="3" s="1"/>
  <c r="E288" i="3"/>
  <c r="F288" i="3" s="1"/>
  <c r="E289" i="3"/>
  <c r="F289" i="3" s="1"/>
  <c r="E290" i="3"/>
  <c r="F290" i="3" s="1"/>
  <c r="E291" i="3"/>
  <c r="F291" i="3" s="1"/>
  <c r="E292" i="3"/>
  <c r="F292" i="3" s="1"/>
  <c r="E293" i="3"/>
  <c r="F293" i="3" s="1"/>
  <c r="E294" i="3"/>
  <c r="F294" i="3" s="1"/>
  <c r="E295" i="3"/>
  <c r="F295" i="3" s="1"/>
  <c r="E296" i="3"/>
  <c r="F296" i="3" s="1"/>
  <c r="E297" i="3"/>
  <c r="F297" i="3" s="1"/>
  <c r="E298" i="3"/>
  <c r="F298" i="3" s="1"/>
  <c r="E299" i="3"/>
  <c r="F299" i="3" s="1"/>
  <c r="E300" i="3"/>
  <c r="F300" i="3" s="1"/>
  <c r="E301" i="3"/>
  <c r="F301" i="3" s="1"/>
  <c r="E302" i="3"/>
  <c r="F302" i="3" s="1"/>
  <c r="E303" i="3"/>
  <c r="F303" i="3" s="1"/>
  <c r="E304" i="3"/>
  <c r="F304" i="3" s="1"/>
  <c r="E305" i="3"/>
  <c r="F305" i="3" s="1"/>
  <c r="E306" i="3"/>
  <c r="F306" i="3" s="1"/>
  <c r="E307" i="3"/>
  <c r="F307" i="3" s="1"/>
  <c r="E308" i="3"/>
  <c r="F308" i="3" s="1"/>
  <c r="E309" i="3"/>
  <c r="F309" i="3" s="1"/>
  <c r="E310" i="3"/>
  <c r="F310" i="3" s="1"/>
  <c r="E311" i="3"/>
  <c r="F311" i="3" s="1"/>
  <c r="E312" i="3"/>
  <c r="F312" i="3" s="1"/>
  <c r="E313" i="3"/>
  <c r="F313" i="3" s="1"/>
  <c r="E314" i="3"/>
  <c r="F314" i="3" s="1"/>
  <c r="E315" i="3"/>
  <c r="F315" i="3" s="1"/>
  <c r="E316" i="3"/>
  <c r="F316" i="3" s="1"/>
  <c r="E317" i="3"/>
  <c r="F317" i="3" s="1"/>
  <c r="E318" i="3"/>
  <c r="F318" i="3" s="1"/>
  <c r="E319" i="3"/>
  <c r="F319" i="3" s="1"/>
  <c r="E320" i="3"/>
  <c r="F320" i="3" s="1"/>
  <c r="E321" i="3"/>
  <c r="F321" i="3" s="1"/>
  <c r="E322" i="3"/>
  <c r="F322" i="3" s="1"/>
  <c r="E323" i="3"/>
  <c r="F323" i="3" s="1"/>
  <c r="E324" i="3"/>
  <c r="F324" i="3" s="1"/>
  <c r="E325" i="3"/>
  <c r="F325" i="3" s="1"/>
  <c r="E326" i="3"/>
  <c r="F326" i="3" s="1"/>
  <c r="E327" i="3"/>
  <c r="F327" i="3" s="1"/>
  <c r="E328" i="3"/>
  <c r="F328" i="3" s="1"/>
  <c r="E329" i="3"/>
  <c r="F329" i="3" s="1"/>
  <c r="E330" i="3"/>
  <c r="F330" i="3" s="1"/>
  <c r="E331" i="3"/>
  <c r="F331" i="3" s="1"/>
  <c r="E332" i="3"/>
  <c r="F332" i="3" s="1"/>
  <c r="E333" i="3"/>
  <c r="F333" i="3" s="1"/>
  <c r="E334" i="3"/>
  <c r="F334" i="3" s="1"/>
  <c r="E335" i="3"/>
  <c r="F335" i="3" s="1"/>
  <c r="E336" i="3"/>
  <c r="F336" i="3" s="1"/>
  <c r="E337" i="3"/>
  <c r="F337" i="3" s="1"/>
  <c r="E338" i="3"/>
  <c r="F338" i="3" s="1"/>
  <c r="E339" i="3"/>
  <c r="F339" i="3" s="1"/>
  <c r="E340" i="3"/>
  <c r="F340" i="3" s="1"/>
  <c r="E341" i="3"/>
  <c r="F341" i="3" s="1"/>
  <c r="E342" i="3"/>
  <c r="F342" i="3" s="1"/>
  <c r="E343" i="3"/>
  <c r="F343" i="3" s="1"/>
  <c r="E344" i="3"/>
  <c r="F344" i="3" s="1"/>
  <c r="E345" i="3"/>
  <c r="F345" i="3" s="1"/>
  <c r="E346" i="3"/>
  <c r="F346" i="3" s="1"/>
  <c r="E347" i="3"/>
  <c r="F347" i="3" s="1"/>
  <c r="E348" i="3"/>
  <c r="F348" i="3" s="1"/>
  <c r="E349" i="3"/>
  <c r="F349" i="3" s="1"/>
  <c r="E350" i="3"/>
  <c r="F350" i="3" s="1"/>
  <c r="E351" i="3"/>
  <c r="F351" i="3" s="1"/>
  <c r="E352" i="3"/>
  <c r="F352" i="3" s="1"/>
  <c r="E353" i="3"/>
  <c r="F353" i="3" s="1"/>
  <c r="E354" i="3"/>
  <c r="F354" i="3" s="1"/>
  <c r="E355" i="3"/>
  <c r="F355" i="3" s="1"/>
  <c r="E356" i="3"/>
  <c r="F356" i="3" s="1"/>
  <c r="E357" i="3"/>
  <c r="F357" i="3" s="1"/>
  <c r="E358" i="3"/>
  <c r="F358" i="3" s="1"/>
  <c r="E359" i="3"/>
  <c r="F359" i="3" s="1"/>
  <c r="E360" i="3"/>
  <c r="F360" i="3" s="1"/>
  <c r="E361" i="3"/>
  <c r="F361" i="3" s="1"/>
  <c r="E362" i="3"/>
  <c r="F362" i="3" s="1"/>
  <c r="E363" i="3"/>
  <c r="F363" i="3" s="1"/>
  <c r="E364" i="3"/>
  <c r="F364" i="3" s="1"/>
  <c r="E365" i="3"/>
  <c r="F365" i="3" s="1"/>
  <c r="E366" i="3"/>
  <c r="F366" i="3" s="1"/>
  <c r="E367" i="3"/>
  <c r="F367" i="3" s="1"/>
  <c r="E368" i="3"/>
  <c r="F368" i="3" s="1"/>
  <c r="E369" i="3"/>
  <c r="F369" i="3" s="1"/>
  <c r="E370" i="3"/>
  <c r="F370" i="3" s="1"/>
  <c r="E371" i="3"/>
  <c r="F371" i="3" s="1"/>
  <c r="E372" i="3"/>
  <c r="F372" i="3" s="1"/>
  <c r="E373" i="3"/>
  <c r="F373" i="3" s="1"/>
  <c r="E374" i="3"/>
  <c r="F374" i="3" s="1"/>
  <c r="E375" i="3"/>
  <c r="F375" i="3" s="1"/>
  <c r="E376" i="3"/>
  <c r="F376" i="3" s="1"/>
  <c r="E377" i="3"/>
  <c r="F377" i="3" s="1"/>
  <c r="E378" i="3"/>
  <c r="F378" i="3" s="1"/>
  <c r="E379" i="3"/>
  <c r="F379" i="3" s="1"/>
  <c r="E380" i="3"/>
  <c r="F380" i="3" s="1"/>
  <c r="E381" i="3"/>
  <c r="F381" i="3" s="1"/>
  <c r="E382" i="3"/>
  <c r="F382" i="3" s="1"/>
  <c r="E383" i="3"/>
  <c r="F383" i="3" s="1"/>
  <c r="E384" i="3"/>
  <c r="F384" i="3" s="1"/>
  <c r="E385" i="3"/>
  <c r="F385" i="3" s="1"/>
  <c r="E386" i="3"/>
  <c r="F386" i="3" s="1"/>
  <c r="E387" i="3"/>
  <c r="F387" i="3" s="1"/>
  <c r="E388" i="3"/>
  <c r="F388" i="3" s="1"/>
  <c r="E389" i="3"/>
  <c r="F389" i="3" s="1"/>
  <c r="E390" i="3"/>
  <c r="F390" i="3" s="1"/>
  <c r="E391" i="3"/>
  <c r="F391" i="3" s="1"/>
  <c r="E392" i="3"/>
  <c r="F392" i="3" s="1"/>
  <c r="E393" i="3"/>
  <c r="F393" i="3" s="1"/>
  <c r="E394" i="3"/>
  <c r="F394" i="3" s="1"/>
  <c r="E395" i="3"/>
  <c r="F395" i="3" s="1"/>
  <c r="E396" i="3"/>
  <c r="F396" i="3" s="1"/>
  <c r="E397" i="3"/>
  <c r="F397" i="3" s="1"/>
  <c r="E398" i="3"/>
  <c r="F398" i="3" s="1"/>
  <c r="E399" i="3"/>
  <c r="F399" i="3" s="1"/>
  <c r="E400" i="3"/>
  <c r="F400" i="3" s="1"/>
  <c r="E401" i="3"/>
  <c r="F401" i="3" s="1"/>
  <c r="E402" i="3"/>
  <c r="F402" i="3" s="1"/>
  <c r="E403" i="3"/>
  <c r="F403" i="3" s="1"/>
  <c r="E404" i="3"/>
  <c r="F404" i="3" s="1"/>
  <c r="E405" i="3"/>
  <c r="F405" i="3" s="1"/>
  <c r="E406" i="3"/>
  <c r="F406" i="3" s="1"/>
  <c r="E407" i="3"/>
  <c r="F407" i="3" s="1"/>
  <c r="E408" i="3"/>
  <c r="F408" i="3" s="1"/>
  <c r="E409" i="3"/>
  <c r="F409" i="3" s="1"/>
  <c r="E410" i="3"/>
  <c r="F410" i="3" s="1"/>
  <c r="E411" i="3"/>
  <c r="F411" i="3" s="1"/>
  <c r="E412" i="3"/>
  <c r="F412" i="3" s="1"/>
  <c r="E413" i="3"/>
  <c r="F413" i="3" s="1"/>
  <c r="E414" i="3"/>
  <c r="F414" i="3" s="1"/>
  <c r="E415" i="3"/>
  <c r="F415" i="3" s="1"/>
  <c r="E416" i="3"/>
  <c r="F416" i="3" s="1"/>
  <c r="E417" i="3"/>
  <c r="F417" i="3" s="1"/>
  <c r="E418" i="3"/>
  <c r="F418" i="3" s="1"/>
  <c r="E419" i="3"/>
  <c r="F419" i="3" s="1"/>
  <c r="E420" i="3"/>
  <c r="F420" i="3" s="1"/>
  <c r="E421" i="3"/>
  <c r="F421" i="3" s="1"/>
  <c r="E422" i="3"/>
  <c r="F422" i="3" s="1"/>
  <c r="E423" i="3"/>
  <c r="F423" i="3" s="1"/>
  <c r="E424" i="3"/>
  <c r="F424" i="3" s="1"/>
  <c r="E425" i="3"/>
  <c r="F425" i="3" s="1"/>
  <c r="E426" i="3"/>
  <c r="F426" i="3" s="1"/>
  <c r="E427" i="3"/>
  <c r="F427" i="3" s="1"/>
  <c r="E428" i="3"/>
  <c r="F428" i="3" s="1"/>
  <c r="E429" i="3"/>
  <c r="F429" i="3" s="1"/>
  <c r="E430" i="3"/>
  <c r="F430" i="3" s="1"/>
  <c r="E431" i="3"/>
  <c r="F431" i="3" s="1"/>
  <c r="E432" i="3"/>
  <c r="F432" i="3" s="1"/>
  <c r="E433" i="3"/>
  <c r="F433" i="3" s="1"/>
  <c r="E434" i="3"/>
  <c r="F434" i="3" s="1"/>
  <c r="E435" i="3"/>
  <c r="F435" i="3" s="1"/>
  <c r="E436" i="3"/>
  <c r="F436" i="3" s="1"/>
  <c r="E437" i="3"/>
  <c r="F437" i="3" s="1"/>
  <c r="E438" i="3"/>
  <c r="F438" i="3" s="1"/>
  <c r="E439" i="3"/>
  <c r="F439" i="3" s="1"/>
  <c r="E440" i="3"/>
  <c r="F440" i="3" s="1"/>
  <c r="E441" i="3"/>
  <c r="F441" i="3" s="1"/>
  <c r="E442" i="3"/>
  <c r="F442" i="3" s="1"/>
  <c r="E443" i="3"/>
  <c r="F443" i="3" s="1"/>
  <c r="E444" i="3"/>
  <c r="F444" i="3" s="1"/>
  <c r="E445" i="3"/>
  <c r="F445" i="3" s="1"/>
  <c r="E446" i="3"/>
  <c r="F446" i="3" s="1"/>
  <c r="E447" i="3"/>
  <c r="F447" i="3" s="1"/>
  <c r="E448" i="3"/>
  <c r="F448" i="3" s="1"/>
  <c r="E449" i="3"/>
  <c r="F449" i="3" s="1"/>
  <c r="E450" i="3"/>
  <c r="F450" i="3" s="1"/>
  <c r="E451" i="3"/>
  <c r="F451" i="3" s="1"/>
  <c r="E452" i="3"/>
  <c r="F452" i="3" s="1"/>
  <c r="E453" i="3"/>
  <c r="F453" i="3" s="1"/>
  <c r="E454" i="3"/>
  <c r="F454" i="3" s="1"/>
  <c r="E455" i="3"/>
  <c r="F455" i="3" s="1"/>
  <c r="E456" i="3"/>
  <c r="F456" i="3" s="1"/>
  <c r="E457" i="3"/>
  <c r="F457" i="3" s="1"/>
  <c r="E458" i="3"/>
  <c r="F458" i="3" s="1"/>
  <c r="E459" i="3"/>
  <c r="F459" i="3" s="1"/>
  <c r="E460" i="3"/>
  <c r="F460" i="3" s="1"/>
  <c r="E461" i="3"/>
  <c r="F461" i="3" s="1"/>
  <c r="E462" i="3"/>
  <c r="F462" i="3" s="1"/>
  <c r="E463" i="3"/>
  <c r="F463" i="3" s="1"/>
  <c r="E464" i="3"/>
  <c r="F464" i="3" s="1"/>
  <c r="E465" i="3"/>
  <c r="F465" i="3" s="1"/>
  <c r="E466" i="3"/>
  <c r="F466" i="3" s="1"/>
  <c r="E467" i="3"/>
  <c r="F467" i="3" s="1"/>
  <c r="E468" i="3"/>
  <c r="F468" i="3" s="1"/>
  <c r="E469" i="3"/>
  <c r="F469" i="3" s="1"/>
  <c r="E470" i="3"/>
  <c r="F470" i="3" s="1"/>
  <c r="E471" i="3"/>
  <c r="F471" i="3" s="1"/>
  <c r="E472" i="3"/>
  <c r="F472" i="3" s="1"/>
  <c r="E473" i="3"/>
  <c r="F473" i="3" s="1"/>
  <c r="E474" i="3"/>
  <c r="F474" i="3" s="1"/>
  <c r="E475" i="3"/>
  <c r="F475" i="3" s="1"/>
  <c r="E476" i="3"/>
  <c r="F476" i="3" s="1"/>
  <c r="E477" i="3"/>
  <c r="F477" i="3" s="1"/>
  <c r="E478" i="3"/>
  <c r="F478" i="3" s="1"/>
  <c r="E479" i="3"/>
  <c r="F479" i="3" s="1"/>
  <c r="E480" i="3"/>
  <c r="F480" i="3" s="1"/>
  <c r="E481" i="3"/>
  <c r="F481" i="3" s="1"/>
  <c r="E482" i="3"/>
  <c r="F482" i="3" s="1"/>
  <c r="E483" i="3"/>
  <c r="F483" i="3" s="1"/>
  <c r="E484" i="3"/>
  <c r="F484" i="3" s="1"/>
  <c r="E485" i="3"/>
  <c r="F485" i="3" s="1"/>
  <c r="E486" i="3"/>
  <c r="F486" i="3" s="1"/>
  <c r="E487" i="3"/>
  <c r="F487" i="3" s="1"/>
  <c r="E488" i="3"/>
  <c r="F488" i="3" s="1"/>
  <c r="E489" i="3"/>
  <c r="F489" i="3" s="1"/>
  <c r="E490" i="3"/>
  <c r="F490" i="3" s="1"/>
  <c r="E491" i="3"/>
  <c r="F491" i="3" s="1"/>
  <c r="E492" i="3"/>
  <c r="F492" i="3" s="1"/>
  <c r="E493" i="3"/>
  <c r="F493" i="3" s="1"/>
  <c r="E494" i="3"/>
  <c r="F494" i="3" s="1"/>
  <c r="E495" i="3"/>
  <c r="F495" i="3" s="1"/>
  <c r="E496" i="3"/>
  <c r="F496" i="3" s="1"/>
  <c r="E497" i="3"/>
  <c r="F497" i="3" s="1"/>
  <c r="E498" i="3"/>
  <c r="F498" i="3" s="1"/>
  <c r="E499" i="3"/>
  <c r="F499" i="3" s="1"/>
  <c r="E500" i="3"/>
  <c r="F500" i="3" s="1"/>
  <c r="E501" i="3"/>
  <c r="F501" i="3" s="1"/>
  <c r="E502" i="3"/>
  <c r="F502" i="3" s="1"/>
  <c r="E503" i="3"/>
  <c r="F503" i="3" s="1"/>
  <c r="E504" i="3"/>
  <c r="F504" i="3" s="1"/>
  <c r="E505" i="3"/>
  <c r="F505" i="3" s="1"/>
  <c r="E506" i="3"/>
  <c r="F506" i="3" s="1"/>
  <c r="E507" i="3"/>
  <c r="F507" i="3" s="1"/>
  <c r="E508" i="3"/>
  <c r="F508" i="3" s="1"/>
  <c r="E509" i="3"/>
  <c r="F509" i="3" s="1"/>
  <c r="E510" i="3"/>
  <c r="F510" i="3" s="1"/>
  <c r="E511" i="3"/>
  <c r="F511" i="3" s="1"/>
  <c r="E512" i="3"/>
  <c r="F512" i="3" s="1"/>
  <c r="E513" i="3"/>
  <c r="F513" i="3" s="1"/>
  <c r="E514" i="3"/>
  <c r="F514" i="3" s="1"/>
  <c r="E515" i="3"/>
  <c r="F515" i="3" s="1"/>
  <c r="E516" i="3"/>
  <c r="F516" i="3" s="1"/>
  <c r="E517" i="3"/>
  <c r="F517" i="3" s="1"/>
  <c r="E518" i="3"/>
  <c r="F518" i="3" s="1"/>
  <c r="E519" i="3"/>
  <c r="F519" i="3" s="1"/>
  <c r="E520" i="3"/>
  <c r="F520" i="3" s="1"/>
  <c r="E521" i="3"/>
  <c r="F521" i="3" s="1"/>
  <c r="E522" i="3"/>
  <c r="F522" i="3" s="1"/>
  <c r="E523" i="3"/>
  <c r="F523" i="3" s="1"/>
  <c r="E524" i="3"/>
  <c r="F524" i="3" s="1"/>
  <c r="E525" i="3"/>
  <c r="F525" i="3" s="1"/>
  <c r="E526" i="3"/>
  <c r="F526" i="3" s="1"/>
  <c r="E527" i="3"/>
  <c r="F527" i="3" s="1"/>
  <c r="E528" i="3"/>
  <c r="F528" i="3" s="1"/>
  <c r="E529" i="3"/>
  <c r="F529" i="3" s="1"/>
  <c r="E530" i="3"/>
  <c r="F530" i="3" s="1"/>
  <c r="E531" i="3"/>
  <c r="F531" i="3" s="1"/>
  <c r="E532" i="3"/>
  <c r="F532" i="3" s="1"/>
  <c r="E533" i="3"/>
  <c r="F533" i="3" s="1"/>
  <c r="E534" i="3"/>
  <c r="F534" i="3" s="1"/>
  <c r="E535" i="3"/>
  <c r="F535" i="3" s="1"/>
  <c r="E536" i="3"/>
  <c r="F536" i="3" s="1"/>
  <c r="E537" i="3"/>
  <c r="F537" i="3" s="1"/>
  <c r="E538" i="3"/>
  <c r="F538" i="3" s="1"/>
  <c r="E539" i="3"/>
  <c r="F539" i="3" s="1"/>
  <c r="E540" i="3"/>
  <c r="F540" i="3" s="1"/>
  <c r="E541" i="3"/>
  <c r="F541" i="3" s="1"/>
  <c r="E542" i="3"/>
  <c r="F542" i="3" s="1"/>
  <c r="E543" i="3"/>
  <c r="F543" i="3" s="1"/>
  <c r="E544" i="3"/>
  <c r="F544" i="3" s="1"/>
  <c r="E545" i="3"/>
  <c r="F545" i="3" s="1"/>
  <c r="E546" i="3"/>
  <c r="F546" i="3" s="1"/>
  <c r="E547" i="3"/>
  <c r="F547" i="3" s="1"/>
  <c r="E548" i="3"/>
  <c r="F548" i="3" s="1"/>
  <c r="E549" i="3"/>
  <c r="F549" i="3" s="1"/>
  <c r="E550" i="3"/>
  <c r="F550" i="3" s="1"/>
  <c r="E551" i="3"/>
  <c r="F551" i="3" s="1"/>
  <c r="E552" i="3"/>
  <c r="F552" i="3" s="1"/>
  <c r="E553" i="3"/>
  <c r="F553" i="3" s="1"/>
  <c r="E554" i="3"/>
  <c r="F554" i="3" s="1"/>
  <c r="E555" i="3"/>
  <c r="F555" i="3" s="1"/>
  <c r="E556" i="3"/>
  <c r="F556" i="3" s="1"/>
  <c r="E557" i="3"/>
  <c r="F557" i="3" s="1"/>
  <c r="E558" i="3"/>
  <c r="F558" i="3" s="1"/>
  <c r="E559" i="3"/>
  <c r="F559" i="3" s="1"/>
  <c r="E560" i="3"/>
  <c r="F560" i="3" s="1"/>
  <c r="E561" i="3"/>
  <c r="F561" i="3" s="1"/>
  <c r="E562" i="3"/>
  <c r="F562" i="3" s="1"/>
  <c r="E563" i="3"/>
  <c r="F563" i="3" s="1"/>
  <c r="E564" i="3"/>
  <c r="F564" i="3" s="1"/>
  <c r="E565" i="3"/>
  <c r="F565" i="3" s="1"/>
  <c r="E566" i="3"/>
  <c r="F566" i="3" s="1"/>
  <c r="E567" i="3"/>
  <c r="F567" i="3" s="1"/>
  <c r="E568" i="3"/>
  <c r="F568" i="3" s="1"/>
  <c r="E569" i="3"/>
  <c r="F569" i="3" s="1"/>
  <c r="E570" i="3"/>
  <c r="F570" i="3" s="1"/>
  <c r="E571" i="3"/>
  <c r="F571" i="3" s="1"/>
  <c r="E572" i="3"/>
  <c r="F572" i="3" s="1"/>
  <c r="E573" i="3"/>
  <c r="F573" i="3" s="1"/>
  <c r="E574" i="3"/>
  <c r="F574" i="3" s="1"/>
  <c r="E575" i="3"/>
  <c r="F575" i="3" s="1"/>
  <c r="E576" i="3"/>
  <c r="F576" i="3" s="1"/>
  <c r="E577" i="3"/>
  <c r="F577" i="3" s="1"/>
  <c r="E578" i="3"/>
  <c r="F578" i="3" s="1"/>
  <c r="E579" i="3"/>
  <c r="F579" i="3" s="1"/>
  <c r="E580" i="3"/>
  <c r="F580" i="3" s="1"/>
  <c r="E581" i="3"/>
  <c r="F581" i="3" s="1"/>
  <c r="E582" i="3"/>
  <c r="F582" i="3" s="1"/>
  <c r="E583" i="3"/>
  <c r="F583" i="3" s="1"/>
  <c r="E584" i="3"/>
  <c r="F584" i="3" s="1"/>
  <c r="E585" i="3"/>
  <c r="F585" i="3" s="1"/>
  <c r="E586" i="3"/>
  <c r="F586" i="3" s="1"/>
  <c r="E587" i="3"/>
  <c r="F587" i="3" s="1"/>
  <c r="E588" i="3"/>
  <c r="F588" i="3" s="1"/>
  <c r="E589" i="3"/>
  <c r="F589" i="3" s="1"/>
  <c r="E590" i="3"/>
  <c r="F590" i="3" s="1"/>
  <c r="E591" i="3"/>
  <c r="F591" i="3" s="1"/>
  <c r="E592" i="3"/>
  <c r="F592" i="3" s="1"/>
  <c r="E593" i="3"/>
  <c r="F593" i="3" s="1"/>
  <c r="E594" i="3"/>
  <c r="F594" i="3" s="1"/>
  <c r="E595" i="3"/>
  <c r="F595" i="3" s="1"/>
  <c r="E596" i="3"/>
  <c r="F596" i="3" s="1"/>
  <c r="E597" i="3"/>
  <c r="F597" i="3" s="1"/>
  <c r="E598" i="3"/>
  <c r="F598" i="3" s="1"/>
  <c r="E599" i="3"/>
  <c r="F599" i="3" s="1"/>
  <c r="E600" i="3"/>
  <c r="F600" i="3" s="1"/>
  <c r="E601" i="3"/>
  <c r="F601" i="3" s="1"/>
  <c r="E602" i="3"/>
  <c r="F602" i="3" s="1"/>
  <c r="E603" i="3"/>
  <c r="F603" i="3" s="1"/>
  <c r="E604" i="3"/>
  <c r="F604" i="3" s="1"/>
  <c r="E605" i="3"/>
  <c r="F605" i="3" s="1"/>
  <c r="E606" i="3"/>
  <c r="F606" i="3" s="1"/>
  <c r="E607" i="3"/>
  <c r="F607" i="3" s="1"/>
  <c r="E608" i="3"/>
  <c r="F608" i="3" s="1"/>
  <c r="E609" i="3"/>
  <c r="F609" i="3" s="1"/>
  <c r="E610" i="3"/>
  <c r="F610" i="3" s="1"/>
  <c r="E611" i="3"/>
  <c r="F611" i="3" s="1"/>
  <c r="E612" i="3"/>
  <c r="F612" i="3" s="1"/>
  <c r="E613" i="3"/>
  <c r="F613" i="3" s="1"/>
  <c r="E614" i="3"/>
  <c r="F614" i="3" s="1"/>
  <c r="E615" i="3"/>
  <c r="F615" i="3" s="1"/>
  <c r="D2" i="3"/>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E2" i="2"/>
  <c r="E3" i="2"/>
  <c r="E4" i="2"/>
  <c r="E5" i="2"/>
  <c r="E6" i="2"/>
  <c r="E7" i="2"/>
  <c r="E8" i="2"/>
  <c r="E9" i="2"/>
  <c r="E10" i="2"/>
  <c r="E11" i="2"/>
  <c r="E12" i="2"/>
  <c r="E13" i="2"/>
  <c r="E14" i="2"/>
  <c r="E15" i="2"/>
  <c r="E16" i="2"/>
  <c r="E17" i="2"/>
  <c r="E18" i="2"/>
  <c r="E19" i="2"/>
  <c r="E20" i="2"/>
  <c r="E21" i="2"/>
  <c r="E2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81E5A84-C3F4-40E9-936D-695B283446F4}" keepAlive="1" name="Query - Cust_inform" description="Connection to the 'Cust_inform' query in the workbook." type="5" refreshedVersion="8" background="1" saveData="1">
    <dbPr connection="Provider=Microsoft.Mashup.OleDb.1;Data Source=$Workbook$;Location=Cust_inform;Extended Properties=&quot;&quot;" command="SELECT * FROM [Cust_inform]"/>
  </connection>
  <connection id="2" xr16:uid="{E93CF5E6-71AD-441A-BEA9-61C0D7B0798A}" keepAlive="1" name="Query - Postcodes" description="Connection to the 'Postcodes' query in the workbook." type="5" refreshedVersion="8" background="1" saveData="1">
    <dbPr connection="Provider=Microsoft.Mashup.OleDb.1;Data Source=$Workbook$;Location=Postcodes;Extended Properties=&quot;&quot;" command="SELECT * FROM [Postcodes]"/>
  </connection>
  <connection id="3" xr16:uid="{D79CA233-B272-49EC-9390-DBCA23C17064}" keepAlive="1" name="Query - Value_order" description="Connection to the 'Value_order' query in the workbook." type="5" refreshedVersion="8" background="1" saveData="1">
    <dbPr connection="Provider=Microsoft.Mashup.OleDb.1;Data Source=$Workbook$;Location=Value_order;Extended Properties=&quot;&quot;" command="SELECT * FROM [Value_order]"/>
  </connection>
</connections>
</file>

<file path=xl/sharedStrings.xml><?xml version="1.0" encoding="utf-8"?>
<sst xmlns="http://schemas.openxmlformats.org/spreadsheetml/2006/main" count="1284" uniqueCount="26">
  <si>
    <t>Postcode</t>
  </si>
  <si>
    <t>Region</t>
  </si>
  <si>
    <t>E</t>
  </si>
  <si>
    <t>W</t>
  </si>
  <si>
    <t>S</t>
  </si>
  <si>
    <t/>
  </si>
  <si>
    <t>N</t>
  </si>
  <si>
    <t>Date</t>
  </si>
  <si>
    <t>custno</t>
  </si>
  <si>
    <t>actual order</t>
  </si>
  <si>
    <t>EMPLOYMENT</t>
  </si>
  <si>
    <t>POSTCODE</t>
  </si>
  <si>
    <t>REGION</t>
  </si>
  <si>
    <t>StdDev of actual order</t>
  </si>
  <si>
    <t>Sum of actual order</t>
  </si>
  <si>
    <t>Average of actual order2</t>
  </si>
  <si>
    <t>Grand Total</t>
  </si>
  <si>
    <t>Column1</t>
  </si>
  <si>
    <t>EMPLOYED_ORDER</t>
  </si>
  <si>
    <t>UNEMPLYED_ORDER</t>
  </si>
  <si>
    <t>EMPLOYED</t>
  </si>
  <si>
    <t>UNEMPLOYED</t>
  </si>
  <si>
    <t>employment</t>
  </si>
  <si>
    <t>age</t>
  </si>
  <si>
    <t>postcode</t>
  </si>
  <si>
    <t>employment2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</si>
</sst>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1"/>
      <color rgb="FF006100"/>
      <name val="Aptos Narrow"/>
      <family val="2"/>
      <scheme val="minor"/>
    </font>
    <font>
      <sz val="8"/>
      <name val="Aptos Narrow"/>
      <family val="2"/>
      <scheme val="minor"/>
    </font>
  </fonts>
  <fills count="3">
    <fill>
      <patternFill patternType="none"/>
    </fill>
    <fill>
      <patternFill patternType="gray125"/>
    </fill>
    <fill>
      <patternFill patternType="solid">
        <fgColor rgb="FFC6EFCE"/>
      </patternFill>
    </fill>
  </fills>
  <borders count="1">
    <border>
      <left/>
      <right/>
      <top/>
      <bottom/>
      <diagonal/>
    </border>
  </borders>
  <cellStyleXfs count="2">
    <xf numFmtId="0" fontId="0" fillId="0" borderId="0"/>
    <xf numFmtId="0" fontId="1" fillId="2" borderId="0" applyNumberFormat="0" applyBorder="0" applyAlignment="0" applyProtection="0"/>
  </cellStyleXfs>
  <cellXfs count="5">
    <xf numFmtId="0" fontId="0" fillId="0" borderId="0" xfId="0"/>
    <xf numFmtId="14" fontId="0" fillId="0" borderId="0" xfId="0" applyNumberFormat="1"/>
    <xf numFmtId="0" fontId="1" fillId="2" borderId="0" xfId="1"/>
    <xf numFmtId="0" fontId="0" fillId="0" borderId="0" xfId="0" pivotButton="1"/>
    <xf numFmtId="2" fontId="0" fillId="0" borderId="0" xfId="0" applyNumberFormat="1"/>
  </cellXfs>
  <cellStyles count="2">
    <cellStyle name="Good" xfId="1" builtinId="26"/>
    <cellStyle name="Normal" xfId="0" builtinId="0"/>
  </cellStyles>
  <dxfs count="19">
    <dxf>
      <numFmt numFmtId="0" formatCode="Genera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numFmt numFmtId="2" formatCode="0.00"/>
    </dxf>
    <dxf>
      <numFmt numFmtId="2" formatCode="0.00"/>
    </dxf>
    <dxf>
      <numFmt numFmtId="0" formatCode="General"/>
    </dxf>
    <dxf>
      <numFmt numFmtId="19" formatCode="dd/mm/yyyy"/>
    </dxf>
    <dxf>
      <numFmt numFmtId="0" formatCode="General"/>
    </dxf>
    <dxf>
      <numFmt numFmtId="0" formatCode="General"/>
    </dxf>
    <dxf>
      <numFmt numFmtId="0" formatCode="General"/>
    </dxf>
    <dxf>
      <numFmt numFmtId="19" formatCode="dd/mm/yyyy"/>
    </dxf>
    <dxf>
      <font>
        <color rgb="FF9C0006"/>
      </font>
      <fill>
        <patternFill>
          <bgColor rgb="FFFFC7CE"/>
        </patternFill>
      </fill>
    </dxf>
    <dxf>
      <font>
        <color rgb="FF9C0006"/>
      </font>
    </dxf>
    <dxf>
      <font>
        <color rgb="FF9C0006"/>
      </font>
      <fill>
        <patternFill>
          <bgColor rgb="FFFFC7CE"/>
        </patternFill>
      </fill>
    </dxf>
    <dxf>
      <fill>
        <patternFill>
          <bgColor rgb="FFFF0000"/>
        </patternFill>
      </fill>
    </dxf>
    <dxf>
      <fill>
        <patternFill>
          <bgColor rgb="FFFF0000"/>
        </patternFill>
      </fil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data id="1">
      <cx:numDim type="val">
        <cx:f>_xlchart.v1.3</cx:f>
      </cx:numDim>
    </cx:data>
  </cx:chartData>
  <cx:chart>
    <cx:title pos="t" align="ctr" overlay="0">
      <cx:tx>
        <cx:rich>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Aptos Narrow" panose="02110004020202020204"/>
              </a:rPr>
              <a:t>DISTRIBUTION OF ORDER VALUES BY EMPLOYMENT STATUES</a:t>
            </a:r>
          </a:p>
          <a:p>
            <a:pPr algn="ctr" rtl="0">
              <a:defRPr/>
            </a:pPr>
            <a:endParaRPr lang="en-US" sz="1800" b="1" i="0" u="none" strike="noStrike" baseline="0">
              <a:solidFill>
                <a:sysClr val="windowText" lastClr="000000">
                  <a:lumMod val="75000"/>
                  <a:lumOff val="25000"/>
                </a:sysClr>
              </a:solidFill>
              <a:latin typeface="Aptos Narrow" panose="02110004020202020204"/>
            </a:endParaRPr>
          </a:p>
        </cx:rich>
      </cx:tx>
    </cx:title>
    <cx:plotArea>
      <cx:plotAreaRegion>
        <cx:series layoutId="boxWhisker" uniqueId="{AB1135EE-51AC-4785-9B73-BC5E2894EF57}">
          <cx:tx>
            <cx:txData>
              <cx:f>_xlchart.v1.0</cx:f>
              <cx:v>EMPLOYED_ORDER</cx:v>
            </cx:txData>
          </cx:tx>
          <cx:dataId val="0"/>
          <cx:layoutPr>
            <cx:visibility meanLine="0" meanMarker="0" nonoutliers="0" outliers="1"/>
            <cx:statistics quartileMethod="exclusive"/>
          </cx:layoutPr>
        </cx:series>
        <cx:series layoutId="boxWhisker" uniqueId="{F55058E4-C2CF-4540-A1AC-4B9804E1C876}">
          <cx:tx>
            <cx:txData>
              <cx:f>_xlchart.v1.2</cx:f>
              <cx:v>UNEMPLYED_ORDER</cx:v>
            </cx:txData>
          </cx:tx>
          <cx:dataId val="1"/>
          <cx:layoutPr>
            <cx:visibility meanLine="0" meanMarker="0" nonoutliers="0" outliers="1"/>
            <cx:statistics quartileMethod="exclusive"/>
          </cx:layoutPr>
        </cx:series>
      </cx:plotAreaRegion>
      <cx:axis id="0">
        <cx:catScaling gapWidth="1.5"/>
        <cx:title>
          <cx:tx>
            <cx:txData>
              <cx:v>EMPLOYMENT</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75000"/>
                      <a:lumOff val="25000"/>
                    </a:sysClr>
                  </a:solidFill>
                  <a:latin typeface="Aptos Narrow" panose="02110004020202020204"/>
                </a:rPr>
                <a:t>EMPLOYMENT</a:t>
              </a:r>
            </a:p>
          </cx:txPr>
        </cx:title>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title>
          <cx:tx>
            <cx:txData>
              <cx:v>ORDERVALUE</cx:v>
            </cx:txData>
          </cx:tx>
          <cx:txPr>
            <a:bodyPr spcFirstLastPara="1" vertOverflow="ellipsis" horzOverflow="overflow" wrap="square" lIns="0" tIns="0" rIns="0" bIns="0" anchor="ctr" anchorCtr="1"/>
            <a:lstStyle/>
            <a:p>
              <a:pPr algn="ctr" rtl="0">
                <a:defRPr/>
              </a:pPr>
              <a:r>
                <a:rPr lang="en-US" sz="900" b="0" i="0" u="none" strike="noStrike" baseline="0">
                  <a:solidFill>
                    <a:sysClr val="windowText" lastClr="000000">
                      <a:lumMod val="75000"/>
                      <a:lumOff val="25000"/>
                    </a:sysClr>
                  </a:solidFill>
                  <a:latin typeface="Aptos Narrow" panose="02110004020202020204"/>
                </a:rPr>
                <a:t>ORDERVALUE</a:t>
              </a:r>
            </a:p>
          </cx:txPr>
        </cx:title>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legend pos="b" align="ctr" overlay="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8">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solidFill>
      <a:ln>
        <a:solidFill>
          <a:schemeClr val="phClr"/>
        </a:solidFill>
      </a:ln>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13</xdr:col>
      <xdr:colOff>381000</xdr:colOff>
      <xdr:row>16</xdr:row>
      <xdr:rowOff>14287</xdr:rowOff>
    </xdr:from>
    <xdr:to>
      <xdr:col>15</xdr:col>
      <xdr:colOff>76200</xdr:colOff>
      <xdr:row>21</xdr:row>
      <xdr:rowOff>166687</xdr:rowOff>
    </xdr:to>
    <xdr:sp macro="" textlink="">
      <xdr:nvSpPr>
        <xdr:cNvPr id="2" name="TextBox 1">
          <a:extLst>
            <a:ext uri="{FF2B5EF4-FFF2-40B4-BE49-F238E27FC236}">
              <a16:creationId xmlns:a16="http://schemas.microsoft.com/office/drawing/2014/main" id="{B6E19F87-EF36-EA72-7670-03D85BA99406}"/>
            </a:ext>
          </a:extLst>
        </xdr:cNvPr>
        <xdr:cNvSpPr txBox="1"/>
      </xdr:nvSpPr>
      <xdr:spPr>
        <a:xfrm>
          <a:off x="8458200" y="3062287"/>
          <a:ext cx="914400"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195259</xdr:colOff>
      <xdr:row>1</xdr:row>
      <xdr:rowOff>90486</xdr:rowOff>
    </xdr:from>
    <xdr:to>
      <xdr:col>21</xdr:col>
      <xdr:colOff>85724</xdr:colOff>
      <xdr:row>31</xdr:row>
      <xdr:rowOff>66675</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6BB9669A-80A3-5532-A2C1-1868324A402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110534" y="280986"/>
              <a:ext cx="7815265" cy="5691189"/>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9</xdr:col>
      <xdr:colOff>371475</xdr:colOff>
      <xdr:row>1</xdr:row>
      <xdr:rowOff>190498</xdr:rowOff>
    </xdr:from>
    <xdr:to>
      <xdr:col>20</xdr:col>
      <xdr:colOff>238125</xdr:colOff>
      <xdr:row>47</xdr:row>
      <xdr:rowOff>190499</xdr:rowOff>
    </xdr:to>
    <xdr:sp macro="" textlink="">
      <xdr:nvSpPr>
        <xdr:cNvPr id="2" name="TextBox 1">
          <a:extLst>
            <a:ext uri="{FF2B5EF4-FFF2-40B4-BE49-F238E27FC236}">
              <a16:creationId xmlns:a16="http://schemas.microsoft.com/office/drawing/2014/main" id="{CF0453A1-5458-3513-312D-1A504EDA4224}"/>
            </a:ext>
          </a:extLst>
        </xdr:cNvPr>
        <xdr:cNvSpPr txBox="1"/>
      </xdr:nvSpPr>
      <xdr:spPr>
        <a:xfrm>
          <a:off x="5857875" y="380998"/>
          <a:ext cx="6572250" cy="87630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b="1"/>
        </a:p>
        <a:p>
          <a:endParaRPr lang="en-GB" sz="1100" b="1"/>
        </a:p>
        <a:p>
          <a:r>
            <a:rPr lang="en-GB" sz="1100" b="1"/>
            <a:t>1_</a:t>
          </a:r>
          <a:r>
            <a:rPr lang="en-GB" sz="1100" b="1" baseline="0"/>
            <a:t> DATA CLEANING:</a:t>
          </a:r>
        </a:p>
        <a:p>
          <a:endParaRPr lang="en-GB" sz="1100" b="1" baseline="0"/>
        </a:p>
        <a:p>
          <a:r>
            <a:rPr lang="en-GB" sz="1100" b="1"/>
            <a:t>Initially, I worked with three tables. in the customer information table, I highlighted blank age fields without deleting them, as other customer data might still be useful . in the postcode table, I removed duplicates. for the actual order table, I kept rows with missing order values as I though there might be other order information that might be still useful but highlighted them. in the pivot table, I filtered blank regions to calculate total sales, mean, and other summary statics. </a:t>
          </a:r>
        </a:p>
        <a:p>
          <a:endParaRPr lang="en-GB" sz="1100" b="1"/>
        </a:p>
        <a:p>
          <a:endParaRPr lang="en-GB" sz="1100" b="1"/>
        </a:p>
        <a:p>
          <a:r>
            <a:rPr lang="en-GB" sz="1100" b="1"/>
            <a:t>2_</a:t>
          </a:r>
          <a:r>
            <a:rPr lang="en-GB" sz="1100" b="1" baseline="0"/>
            <a:t> DASHBOARD/TABLE UTILITY:</a:t>
          </a:r>
        </a:p>
        <a:p>
          <a:endParaRPr lang="en-GB" sz="1100" b="1" baseline="0"/>
        </a:p>
        <a:p>
          <a:r>
            <a:rPr lang="en-GB" sz="1100" b="1"/>
            <a:t>The pivot table summarizes total, average, and standard deviation of Actual orders by region. for example, region E has the highest total and average order value. regions N and S show a higher standard deviation, meaning order values are more spread out, with some customers ordering much more or less than the average. The box and whisker chart shows unemployed customers have wider order distribution, helping identify areas to focus marketing and encourage repeat purchases.</a:t>
          </a:r>
        </a:p>
        <a:p>
          <a:endParaRPr lang="en-GB" sz="1100" b="1"/>
        </a:p>
        <a:p>
          <a:r>
            <a:rPr lang="en-GB" sz="1100" b="1"/>
            <a:t>3_ METHODOLOGY:</a:t>
          </a:r>
        </a:p>
        <a:p>
          <a:endParaRPr lang="en-GB" sz="1100" b="1"/>
        </a:p>
        <a:p>
          <a:r>
            <a:rPr lang="en-GB" sz="1100" b="1"/>
            <a:t>I used Excel tables to organize raw data and pivot tables to summarize total, average, and standard deviation of orders by region. Box &amp; whisker charts visualized order distributions by employment. VBA macros automated tasks such filtering by region and exporting selected data , reducing manual work, ensuring consistency, and making the workbook interactive and efficient.</a:t>
          </a:r>
        </a:p>
        <a:p>
          <a:endParaRPr lang="en-GB" sz="1100" b="1"/>
        </a:p>
        <a:p>
          <a:endParaRPr lang="en-GB" sz="1100" b="1"/>
        </a:p>
        <a:p>
          <a:r>
            <a:rPr lang="en-GB" sz="1100" b="1"/>
            <a:t>4_ AUTOMATION LOGIC:</a:t>
          </a:r>
        </a:p>
        <a:p>
          <a:endParaRPr lang="en-GB" sz="1100" b="1"/>
        </a:p>
        <a:p>
          <a:r>
            <a:rPr lang="en-GB" sz="1100" b="1"/>
            <a:t>The VBA macro prompts the user to enter a region, checks for blank input, and confirms the selection with a message box. it then automates filtering and exports the selected region's data as a CSV file, reducing manual effort. One interface improvement could be a drop-down lists of regions to minimize input errors and make the macro more user-friendly.</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ial Pourjam (student)" refreshedDate="46090.750765509256" createdVersion="8" refreshedVersion="8" minRefreshableVersion="3" recordCount="614" xr:uid="{731B90CE-20F6-48C0-B464-AA0E91CE9201}">
  <cacheSource type="worksheet">
    <worksheetSource name="MASTER_TABLE"/>
  </cacheSource>
  <cacheFields count="6">
    <cacheField name="Date" numFmtId="0">
      <sharedItems containsSemiMixedTypes="0" containsString="0" containsNumber="1" containsInteger="1" minValue="41616" maxValue="41816"/>
    </cacheField>
    <cacheField name="custno" numFmtId="0">
      <sharedItems containsSemiMixedTypes="0" containsString="0" containsNumber="1" containsInteger="1" minValue="1" maxValue="20"/>
    </cacheField>
    <cacheField name="actual order" numFmtId="0">
      <sharedItems containsString="0" containsBlank="1" containsNumber="1" containsInteger="1" minValue="144" maxValue="560" count="300">
        <n v="213"/>
        <n v="241"/>
        <n v="224"/>
        <n v="242"/>
        <n v="237"/>
        <n v="232"/>
        <n v="225"/>
        <n v="227"/>
        <n v="217"/>
        <n v="205"/>
        <n v="204"/>
        <n v="228"/>
        <n v="219"/>
        <n v="206"/>
        <n v="253"/>
        <n v="221"/>
        <n v="240"/>
        <n v="238"/>
        <n v="200"/>
        <n v="203"/>
        <n v="208"/>
        <n v="222"/>
        <n v="199"/>
        <n v="239"/>
        <n v="258"/>
        <n v="195"/>
        <n v="259"/>
        <n v="201"/>
        <n v="234"/>
        <n v="226"/>
        <n v="209"/>
        <n v="231"/>
        <n v="244"/>
        <n v="255"/>
        <n v="271"/>
        <n v="270"/>
        <n v="291"/>
        <n v="267"/>
        <n v="250"/>
        <n v="281"/>
        <n v="289"/>
        <n v="290"/>
        <n v="243"/>
        <n v="248"/>
        <n v="269"/>
        <n v="310"/>
        <n v="245"/>
        <n v="268"/>
        <n v="260"/>
        <n v="285"/>
        <n v="282"/>
        <n v="314"/>
        <n v="301"/>
        <n v="273"/>
        <n v="266"/>
        <n v="340"/>
        <n v="333"/>
        <n v="343"/>
        <n v="350"/>
        <n v="331"/>
        <n v="299"/>
        <n v="338"/>
        <n v="360"/>
        <n v="316"/>
        <n v="315"/>
        <n v="284"/>
        <n v="324"/>
        <n v="320"/>
        <n v="287"/>
        <n v="322"/>
        <n v="339"/>
        <n v="272"/>
        <n v="313"/>
        <n v="277"/>
        <n v="358"/>
        <n v="312"/>
        <n v="326"/>
        <n v="335"/>
        <n v="328"/>
        <n v="292"/>
        <n v="357"/>
        <n v="275"/>
        <n v="319"/>
        <n v="341"/>
        <n v="327"/>
        <n v="325"/>
        <n v="303"/>
        <n v="349"/>
        <n v="298"/>
        <n v="348"/>
        <n v="345"/>
        <n v="302"/>
        <n v="353"/>
        <n v="461"/>
        <n v="503"/>
        <n v="427"/>
        <n v="446"/>
        <n v="492"/>
        <n v="442"/>
        <n v="544"/>
        <n v="466"/>
        <n v="495"/>
        <n v="471"/>
        <n v="454"/>
        <n v="438"/>
        <n v="535"/>
        <m/>
        <n v="538"/>
        <n v="507"/>
        <n v="417"/>
        <n v="491"/>
        <n v="529"/>
        <n v="457"/>
        <n v="428"/>
        <n v="496"/>
        <n v="448"/>
        <n v="504"/>
        <n v="483"/>
        <n v="489"/>
        <n v="515"/>
        <n v="469"/>
        <n v="447"/>
        <n v="464"/>
        <n v="505"/>
        <n v="455"/>
        <n v="481"/>
        <n v="497"/>
        <n v="501"/>
        <n v="484"/>
        <n v="541"/>
        <n v="480"/>
        <n v="550"/>
        <n v="510"/>
        <n v="487"/>
        <n v="458"/>
        <n v="443"/>
        <n v="479"/>
        <n v="452"/>
        <n v="472"/>
        <n v="486"/>
        <n v="415"/>
        <n v="549"/>
        <n v="451"/>
        <n v="534"/>
        <n v="444"/>
        <n v="418"/>
        <n v="436"/>
        <n v="518"/>
        <n v="516"/>
        <n v="560"/>
        <n v="460"/>
        <n v="437"/>
        <n v="202"/>
        <n v="218"/>
        <n v="207"/>
        <n v="211"/>
        <n v="189"/>
        <n v="223"/>
        <n v="190"/>
        <n v="184"/>
        <n v="191"/>
        <n v="173"/>
        <n v="198"/>
        <n v="220"/>
        <n v="196"/>
        <n v="174"/>
        <n v="187"/>
        <n v="182"/>
        <n v="186"/>
        <n v="210"/>
        <n v="177"/>
        <n v="178"/>
        <n v="175"/>
        <n v="383"/>
        <n v="404"/>
        <n v="420"/>
        <n v="365"/>
        <n v="393"/>
        <n v="371"/>
        <n v="449"/>
        <n v="392"/>
        <n v="391"/>
        <n v="409"/>
        <n v="367"/>
        <n v="416"/>
        <n v="401"/>
        <n v="399"/>
        <n v="456"/>
        <n v="512"/>
        <n v="408"/>
        <n v="435"/>
        <n v="470"/>
        <n v="441"/>
        <n v="424"/>
        <n v="506"/>
        <n v="439"/>
        <n v="477"/>
        <n v="429"/>
        <n v="414"/>
        <n v="400"/>
        <n v="467"/>
        <n v="403"/>
        <n v="478"/>
        <n v="450"/>
        <n v="407"/>
        <n v="430"/>
        <n v="411"/>
        <n v="398"/>
        <n v="422"/>
        <n v="410"/>
        <n v="385"/>
        <n v="431"/>
        <n v="453"/>
        <n v="318"/>
        <n v="309"/>
        <n v="321"/>
        <n v="283"/>
        <n v="276"/>
        <n v="332"/>
        <n v="197"/>
        <n v="216"/>
        <n v="194"/>
        <n v="192"/>
        <n v="214"/>
        <n v="193"/>
        <n v="356"/>
        <n v="347"/>
        <n v="370"/>
        <n v="373"/>
        <n v="368"/>
        <n v="311"/>
        <n v="355"/>
        <n v="354"/>
        <n v="379"/>
        <n v="362"/>
        <n v="394"/>
        <n v="361"/>
        <n v="390"/>
        <n v="381"/>
        <n v="329"/>
        <n v="366"/>
        <n v="482"/>
        <n v="485"/>
        <n v="500"/>
        <n v="474"/>
        <n v="468"/>
        <n v="488"/>
        <n v="490"/>
        <n v="440"/>
        <n v="334"/>
        <n v="288"/>
        <n v="304"/>
        <n v="330"/>
        <n v="306"/>
        <n v="352"/>
        <n v="342"/>
        <n v="412"/>
        <n v="513"/>
        <n v="509"/>
        <n v="462"/>
        <n v="432"/>
        <n v="425"/>
        <n v="499"/>
        <n v="536"/>
        <n v="539"/>
        <n v="434"/>
        <n v="519"/>
        <n v="526"/>
        <n v="517"/>
        <n v="532"/>
        <n v="445"/>
        <n v="502"/>
        <n v="167"/>
        <n v="172"/>
        <n v="158"/>
        <n v="150"/>
        <n v="176"/>
        <n v="179"/>
        <n v="165"/>
        <n v="147"/>
        <n v="170"/>
        <n v="144"/>
        <n v="181"/>
        <n v="164"/>
        <n v="152"/>
        <n v="159"/>
        <n v="154"/>
        <n v="163"/>
        <n v="185"/>
        <n v="160"/>
        <n v="155"/>
        <n v="168"/>
        <n v="169"/>
        <n v="171"/>
        <n v="156"/>
        <n v="293"/>
        <n v="297"/>
        <n v="323"/>
        <n v="278"/>
        <n v="305"/>
      </sharedItems>
    </cacheField>
    <cacheField name="EMPLOYMENT" numFmtId="0">
      <sharedItems count="2">
        <s v="EMPLOYED"/>
        <s v="UNEMPLOYED"/>
      </sharedItems>
    </cacheField>
    <cacheField name="POSTCODE" numFmtId="0">
      <sharedItems containsSemiMixedTypes="0" containsString="0" containsNumber="1" containsInteger="1" minValue="1" maxValue="25"/>
    </cacheField>
    <cacheField name="REGION" numFmtId="0">
      <sharedItems count="5">
        <s v="S"/>
        <s v=""/>
        <s v="N"/>
        <s v="W"/>
        <s v="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4">
  <r>
    <n v="41618"/>
    <n v="1"/>
    <x v="0"/>
    <x v="0"/>
    <n v="18"/>
    <x v="0"/>
  </r>
  <r>
    <n v="41623"/>
    <n v="1"/>
    <x v="1"/>
    <x v="0"/>
    <n v="18"/>
    <x v="0"/>
  </r>
  <r>
    <n v="41631"/>
    <n v="1"/>
    <x v="0"/>
    <x v="0"/>
    <n v="18"/>
    <x v="0"/>
  </r>
  <r>
    <n v="41632"/>
    <n v="1"/>
    <x v="2"/>
    <x v="0"/>
    <n v="18"/>
    <x v="0"/>
  </r>
  <r>
    <n v="41646"/>
    <n v="1"/>
    <x v="3"/>
    <x v="0"/>
    <n v="18"/>
    <x v="0"/>
  </r>
  <r>
    <n v="41647"/>
    <n v="1"/>
    <x v="4"/>
    <x v="0"/>
    <n v="18"/>
    <x v="0"/>
  </r>
  <r>
    <n v="41657"/>
    <n v="1"/>
    <x v="5"/>
    <x v="0"/>
    <n v="18"/>
    <x v="0"/>
  </r>
  <r>
    <n v="41658"/>
    <n v="1"/>
    <x v="6"/>
    <x v="0"/>
    <n v="18"/>
    <x v="0"/>
  </r>
  <r>
    <n v="41658"/>
    <n v="1"/>
    <x v="7"/>
    <x v="0"/>
    <n v="18"/>
    <x v="0"/>
  </r>
  <r>
    <n v="41660"/>
    <n v="1"/>
    <x v="8"/>
    <x v="0"/>
    <n v="18"/>
    <x v="0"/>
  </r>
  <r>
    <n v="41662"/>
    <n v="1"/>
    <x v="9"/>
    <x v="0"/>
    <n v="18"/>
    <x v="0"/>
  </r>
  <r>
    <n v="41670"/>
    <n v="1"/>
    <x v="10"/>
    <x v="0"/>
    <n v="18"/>
    <x v="0"/>
  </r>
  <r>
    <n v="41672"/>
    <n v="1"/>
    <x v="11"/>
    <x v="0"/>
    <n v="18"/>
    <x v="0"/>
  </r>
  <r>
    <n v="41677"/>
    <n v="1"/>
    <x v="12"/>
    <x v="0"/>
    <n v="18"/>
    <x v="0"/>
  </r>
  <r>
    <n v="41681"/>
    <n v="1"/>
    <x v="13"/>
    <x v="0"/>
    <n v="18"/>
    <x v="0"/>
  </r>
  <r>
    <n v="41688"/>
    <n v="1"/>
    <x v="14"/>
    <x v="0"/>
    <n v="18"/>
    <x v="0"/>
  </r>
  <r>
    <n v="41688"/>
    <n v="1"/>
    <x v="15"/>
    <x v="0"/>
    <n v="18"/>
    <x v="0"/>
  </r>
  <r>
    <n v="41690"/>
    <n v="1"/>
    <x v="16"/>
    <x v="0"/>
    <n v="18"/>
    <x v="0"/>
  </r>
  <r>
    <n v="41698"/>
    <n v="1"/>
    <x v="5"/>
    <x v="0"/>
    <n v="18"/>
    <x v="0"/>
  </r>
  <r>
    <n v="41701"/>
    <n v="1"/>
    <x v="7"/>
    <x v="0"/>
    <n v="18"/>
    <x v="0"/>
  </r>
  <r>
    <n v="41701"/>
    <n v="1"/>
    <x v="17"/>
    <x v="0"/>
    <n v="18"/>
    <x v="0"/>
  </r>
  <r>
    <n v="41703"/>
    <n v="1"/>
    <x v="18"/>
    <x v="0"/>
    <n v="18"/>
    <x v="0"/>
  </r>
  <r>
    <n v="41707"/>
    <n v="1"/>
    <x v="19"/>
    <x v="0"/>
    <n v="18"/>
    <x v="0"/>
  </r>
  <r>
    <n v="41714"/>
    <n v="1"/>
    <x v="20"/>
    <x v="0"/>
    <n v="18"/>
    <x v="0"/>
  </r>
  <r>
    <n v="41716"/>
    <n v="1"/>
    <x v="21"/>
    <x v="0"/>
    <n v="18"/>
    <x v="0"/>
  </r>
  <r>
    <n v="41716"/>
    <n v="1"/>
    <x v="20"/>
    <x v="0"/>
    <n v="18"/>
    <x v="0"/>
  </r>
  <r>
    <n v="41720"/>
    <n v="1"/>
    <x v="22"/>
    <x v="0"/>
    <n v="18"/>
    <x v="0"/>
  </r>
  <r>
    <n v="41722"/>
    <n v="1"/>
    <x v="2"/>
    <x v="0"/>
    <n v="18"/>
    <x v="0"/>
  </r>
  <r>
    <n v="41725"/>
    <n v="1"/>
    <x v="15"/>
    <x v="0"/>
    <n v="18"/>
    <x v="0"/>
  </r>
  <r>
    <n v="41726"/>
    <n v="1"/>
    <x v="23"/>
    <x v="0"/>
    <n v="18"/>
    <x v="0"/>
  </r>
  <r>
    <n v="41728"/>
    <n v="1"/>
    <x v="24"/>
    <x v="0"/>
    <n v="18"/>
    <x v="0"/>
  </r>
  <r>
    <n v="41734"/>
    <n v="1"/>
    <x v="25"/>
    <x v="0"/>
    <n v="18"/>
    <x v="0"/>
  </r>
  <r>
    <n v="41738"/>
    <n v="1"/>
    <x v="15"/>
    <x v="0"/>
    <n v="18"/>
    <x v="0"/>
  </r>
  <r>
    <n v="41739"/>
    <n v="1"/>
    <x v="10"/>
    <x v="0"/>
    <n v="18"/>
    <x v="0"/>
  </r>
  <r>
    <n v="41750"/>
    <n v="1"/>
    <x v="26"/>
    <x v="0"/>
    <n v="18"/>
    <x v="0"/>
  </r>
  <r>
    <n v="41751"/>
    <n v="1"/>
    <x v="27"/>
    <x v="0"/>
    <n v="18"/>
    <x v="0"/>
  </r>
  <r>
    <n v="41756"/>
    <n v="1"/>
    <x v="28"/>
    <x v="0"/>
    <n v="18"/>
    <x v="0"/>
  </r>
  <r>
    <n v="41760"/>
    <n v="1"/>
    <x v="29"/>
    <x v="0"/>
    <n v="18"/>
    <x v="0"/>
  </r>
  <r>
    <n v="41771"/>
    <n v="1"/>
    <x v="23"/>
    <x v="0"/>
    <n v="18"/>
    <x v="0"/>
  </r>
  <r>
    <n v="41776"/>
    <n v="1"/>
    <x v="30"/>
    <x v="0"/>
    <n v="18"/>
    <x v="0"/>
  </r>
  <r>
    <n v="41782"/>
    <n v="1"/>
    <x v="31"/>
    <x v="0"/>
    <n v="18"/>
    <x v="0"/>
  </r>
  <r>
    <n v="41783"/>
    <n v="1"/>
    <x v="9"/>
    <x v="0"/>
    <n v="18"/>
    <x v="0"/>
  </r>
  <r>
    <n v="41785"/>
    <n v="1"/>
    <x v="28"/>
    <x v="0"/>
    <n v="18"/>
    <x v="0"/>
  </r>
  <r>
    <n v="41790"/>
    <n v="1"/>
    <x v="4"/>
    <x v="0"/>
    <n v="18"/>
    <x v="0"/>
  </r>
  <r>
    <n v="41801"/>
    <n v="1"/>
    <x v="13"/>
    <x v="0"/>
    <n v="18"/>
    <x v="0"/>
  </r>
  <r>
    <n v="41801"/>
    <n v="1"/>
    <x v="7"/>
    <x v="0"/>
    <n v="18"/>
    <x v="0"/>
  </r>
  <r>
    <n v="41804"/>
    <n v="1"/>
    <x v="18"/>
    <x v="0"/>
    <n v="18"/>
    <x v="0"/>
  </r>
  <r>
    <n v="41805"/>
    <n v="1"/>
    <x v="32"/>
    <x v="0"/>
    <n v="18"/>
    <x v="0"/>
  </r>
  <r>
    <n v="41805"/>
    <n v="1"/>
    <x v="0"/>
    <x v="0"/>
    <n v="18"/>
    <x v="0"/>
  </r>
  <r>
    <n v="41807"/>
    <n v="1"/>
    <x v="33"/>
    <x v="0"/>
    <n v="18"/>
    <x v="0"/>
  </r>
  <r>
    <n v="41625"/>
    <n v="2"/>
    <x v="34"/>
    <x v="1"/>
    <n v="20"/>
    <x v="1"/>
  </r>
  <r>
    <n v="41625"/>
    <n v="2"/>
    <x v="14"/>
    <x v="1"/>
    <n v="20"/>
    <x v="1"/>
  </r>
  <r>
    <n v="41642"/>
    <n v="2"/>
    <x v="35"/>
    <x v="1"/>
    <n v="20"/>
    <x v="1"/>
  </r>
  <r>
    <n v="41643"/>
    <n v="2"/>
    <x v="36"/>
    <x v="1"/>
    <n v="20"/>
    <x v="1"/>
  </r>
  <r>
    <n v="41644"/>
    <n v="2"/>
    <x v="35"/>
    <x v="1"/>
    <n v="20"/>
    <x v="1"/>
  </r>
  <r>
    <n v="41654"/>
    <n v="2"/>
    <x v="37"/>
    <x v="1"/>
    <n v="20"/>
    <x v="1"/>
  </r>
  <r>
    <n v="41657"/>
    <n v="2"/>
    <x v="38"/>
    <x v="1"/>
    <n v="20"/>
    <x v="1"/>
  </r>
  <r>
    <n v="41661"/>
    <n v="2"/>
    <x v="39"/>
    <x v="1"/>
    <n v="20"/>
    <x v="1"/>
  </r>
  <r>
    <n v="41666"/>
    <n v="2"/>
    <x v="26"/>
    <x v="1"/>
    <n v="20"/>
    <x v="1"/>
  </r>
  <r>
    <n v="41669"/>
    <n v="2"/>
    <x v="40"/>
    <x v="1"/>
    <n v="20"/>
    <x v="1"/>
  </r>
  <r>
    <n v="41672"/>
    <n v="2"/>
    <x v="41"/>
    <x v="1"/>
    <n v="20"/>
    <x v="1"/>
  </r>
  <r>
    <n v="41676"/>
    <n v="2"/>
    <x v="42"/>
    <x v="1"/>
    <n v="20"/>
    <x v="1"/>
  </r>
  <r>
    <n v="41690"/>
    <n v="2"/>
    <x v="34"/>
    <x v="1"/>
    <n v="20"/>
    <x v="1"/>
  </r>
  <r>
    <n v="41690"/>
    <n v="2"/>
    <x v="43"/>
    <x v="1"/>
    <n v="20"/>
    <x v="1"/>
  </r>
  <r>
    <n v="41705"/>
    <n v="2"/>
    <x v="44"/>
    <x v="1"/>
    <n v="20"/>
    <x v="1"/>
  </r>
  <r>
    <n v="41706"/>
    <n v="2"/>
    <x v="23"/>
    <x v="1"/>
    <n v="20"/>
    <x v="1"/>
  </r>
  <r>
    <n v="41709"/>
    <n v="2"/>
    <x v="45"/>
    <x v="1"/>
    <n v="20"/>
    <x v="1"/>
  </r>
  <r>
    <n v="41716"/>
    <n v="2"/>
    <x v="14"/>
    <x v="1"/>
    <n v="20"/>
    <x v="1"/>
  </r>
  <r>
    <n v="41720"/>
    <n v="2"/>
    <x v="46"/>
    <x v="1"/>
    <n v="20"/>
    <x v="1"/>
  </r>
  <r>
    <n v="41720"/>
    <n v="2"/>
    <x v="47"/>
    <x v="1"/>
    <n v="20"/>
    <x v="1"/>
  </r>
  <r>
    <n v="41722"/>
    <n v="2"/>
    <x v="48"/>
    <x v="1"/>
    <n v="20"/>
    <x v="1"/>
  </r>
  <r>
    <n v="41727"/>
    <n v="2"/>
    <x v="49"/>
    <x v="1"/>
    <n v="20"/>
    <x v="1"/>
  </r>
  <r>
    <n v="41732"/>
    <n v="2"/>
    <x v="44"/>
    <x v="1"/>
    <n v="20"/>
    <x v="1"/>
  </r>
  <r>
    <n v="41736"/>
    <n v="2"/>
    <x v="26"/>
    <x v="1"/>
    <n v="20"/>
    <x v="1"/>
  </r>
  <r>
    <n v="41755"/>
    <n v="2"/>
    <x v="50"/>
    <x v="1"/>
    <n v="20"/>
    <x v="1"/>
  </r>
  <r>
    <n v="41761"/>
    <n v="2"/>
    <x v="42"/>
    <x v="1"/>
    <n v="20"/>
    <x v="1"/>
  </r>
  <r>
    <n v="41768"/>
    <n v="2"/>
    <x v="16"/>
    <x v="1"/>
    <n v="20"/>
    <x v="1"/>
  </r>
  <r>
    <n v="41777"/>
    <n v="2"/>
    <x v="24"/>
    <x v="1"/>
    <n v="20"/>
    <x v="1"/>
  </r>
  <r>
    <n v="41779"/>
    <n v="2"/>
    <x v="51"/>
    <x v="1"/>
    <n v="20"/>
    <x v="1"/>
  </r>
  <r>
    <n v="41783"/>
    <n v="2"/>
    <x v="52"/>
    <x v="1"/>
    <n v="20"/>
    <x v="1"/>
  </r>
  <r>
    <n v="41784"/>
    <n v="2"/>
    <x v="53"/>
    <x v="1"/>
    <n v="20"/>
    <x v="1"/>
  </r>
  <r>
    <n v="41786"/>
    <n v="2"/>
    <x v="54"/>
    <x v="1"/>
    <n v="20"/>
    <x v="1"/>
  </r>
  <r>
    <n v="41789"/>
    <n v="2"/>
    <x v="43"/>
    <x v="1"/>
    <n v="20"/>
    <x v="1"/>
  </r>
  <r>
    <n v="41794"/>
    <n v="2"/>
    <x v="14"/>
    <x v="1"/>
    <n v="20"/>
    <x v="1"/>
  </r>
  <r>
    <n v="41795"/>
    <n v="2"/>
    <x v="50"/>
    <x v="1"/>
    <n v="20"/>
    <x v="1"/>
  </r>
  <r>
    <n v="41809"/>
    <n v="2"/>
    <x v="44"/>
    <x v="1"/>
    <n v="20"/>
    <x v="1"/>
  </r>
  <r>
    <n v="41811"/>
    <n v="2"/>
    <x v="50"/>
    <x v="1"/>
    <n v="20"/>
    <x v="1"/>
  </r>
  <r>
    <n v="41815"/>
    <n v="2"/>
    <x v="44"/>
    <x v="1"/>
    <n v="20"/>
    <x v="1"/>
  </r>
  <r>
    <n v="41618"/>
    <n v="3"/>
    <x v="55"/>
    <x v="1"/>
    <n v="25"/>
    <x v="2"/>
  </r>
  <r>
    <n v="41619"/>
    <n v="3"/>
    <x v="56"/>
    <x v="1"/>
    <n v="25"/>
    <x v="2"/>
  </r>
  <r>
    <n v="41619"/>
    <n v="3"/>
    <x v="57"/>
    <x v="1"/>
    <n v="25"/>
    <x v="2"/>
  </r>
  <r>
    <n v="41635"/>
    <n v="3"/>
    <x v="58"/>
    <x v="1"/>
    <n v="25"/>
    <x v="2"/>
  </r>
  <r>
    <n v="41636"/>
    <n v="3"/>
    <x v="59"/>
    <x v="1"/>
    <n v="25"/>
    <x v="2"/>
  </r>
  <r>
    <n v="41638"/>
    <n v="3"/>
    <x v="60"/>
    <x v="1"/>
    <n v="25"/>
    <x v="2"/>
  </r>
  <r>
    <n v="41638"/>
    <n v="3"/>
    <x v="61"/>
    <x v="1"/>
    <n v="25"/>
    <x v="2"/>
  </r>
  <r>
    <n v="41640"/>
    <n v="3"/>
    <x v="62"/>
    <x v="1"/>
    <n v="25"/>
    <x v="2"/>
  </r>
  <r>
    <n v="41642"/>
    <n v="3"/>
    <x v="63"/>
    <x v="1"/>
    <n v="25"/>
    <x v="2"/>
  </r>
  <r>
    <n v="41644"/>
    <n v="3"/>
    <x v="64"/>
    <x v="1"/>
    <n v="25"/>
    <x v="2"/>
  </r>
  <r>
    <n v="41644"/>
    <n v="3"/>
    <x v="65"/>
    <x v="1"/>
    <n v="25"/>
    <x v="2"/>
  </r>
  <r>
    <n v="41646"/>
    <n v="3"/>
    <x v="66"/>
    <x v="1"/>
    <n v="25"/>
    <x v="2"/>
  </r>
  <r>
    <n v="41647"/>
    <n v="3"/>
    <x v="67"/>
    <x v="1"/>
    <n v="25"/>
    <x v="2"/>
  </r>
  <r>
    <n v="41651"/>
    <n v="3"/>
    <x v="51"/>
    <x v="1"/>
    <n v="25"/>
    <x v="2"/>
  </r>
  <r>
    <n v="41653"/>
    <n v="3"/>
    <x v="61"/>
    <x v="1"/>
    <n v="25"/>
    <x v="2"/>
  </r>
  <r>
    <n v="41663"/>
    <n v="3"/>
    <x v="59"/>
    <x v="1"/>
    <n v="25"/>
    <x v="2"/>
  </r>
  <r>
    <n v="41666"/>
    <n v="3"/>
    <x v="39"/>
    <x v="1"/>
    <n v="25"/>
    <x v="2"/>
  </r>
  <r>
    <n v="41667"/>
    <n v="3"/>
    <x v="68"/>
    <x v="1"/>
    <n v="25"/>
    <x v="2"/>
  </r>
  <r>
    <n v="41668"/>
    <n v="3"/>
    <x v="69"/>
    <x v="1"/>
    <n v="25"/>
    <x v="2"/>
  </r>
  <r>
    <n v="41678"/>
    <n v="3"/>
    <x v="70"/>
    <x v="1"/>
    <n v="25"/>
    <x v="2"/>
  </r>
  <r>
    <n v="41687"/>
    <n v="3"/>
    <x v="71"/>
    <x v="1"/>
    <n v="25"/>
    <x v="2"/>
  </r>
  <r>
    <n v="41688"/>
    <n v="3"/>
    <x v="56"/>
    <x v="1"/>
    <n v="25"/>
    <x v="2"/>
  </r>
  <r>
    <n v="41690"/>
    <n v="3"/>
    <x v="72"/>
    <x v="1"/>
    <n v="25"/>
    <x v="2"/>
  </r>
  <r>
    <n v="41690"/>
    <n v="3"/>
    <x v="73"/>
    <x v="1"/>
    <n v="25"/>
    <x v="2"/>
  </r>
  <r>
    <n v="41690"/>
    <n v="3"/>
    <x v="61"/>
    <x v="1"/>
    <n v="25"/>
    <x v="2"/>
  </r>
  <r>
    <n v="41692"/>
    <n v="3"/>
    <x v="74"/>
    <x v="1"/>
    <n v="25"/>
    <x v="2"/>
  </r>
  <r>
    <n v="41693"/>
    <n v="3"/>
    <x v="75"/>
    <x v="1"/>
    <n v="25"/>
    <x v="2"/>
  </r>
  <r>
    <n v="41693"/>
    <n v="3"/>
    <x v="76"/>
    <x v="1"/>
    <n v="25"/>
    <x v="2"/>
  </r>
  <r>
    <n v="41695"/>
    <n v="3"/>
    <x v="77"/>
    <x v="1"/>
    <n v="25"/>
    <x v="2"/>
  </r>
  <r>
    <n v="41695"/>
    <n v="3"/>
    <x v="78"/>
    <x v="1"/>
    <n v="25"/>
    <x v="2"/>
  </r>
  <r>
    <n v="41696"/>
    <n v="3"/>
    <x v="79"/>
    <x v="1"/>
    <n v="25"/>
    <x v="2"/>
  </r>
  <r>
    <n v="41717"/>
    <n v="3"/>
    <x v="73"/>
    <x v="1"/>
    <n v="25"/>
    <x v="2"/>
  </r>
  <r>
    <n v="41723"/>
    <n v="3"/>
    <x v="59"/>
    <x v="1"/>
    <n v="25"/>
    <x v="2"/>
  </r>
  <r>
    <n v="41729"/>
    <n v="3"/>
    <x v="78"/>
    <x v="1"/>
    <n v="25"/>
    <x v="2"/>
  </r>
  <r>
    <n v="41731"/>
    <n v="3"/>
    <x v="71"/>
    <x v="1"/>
    <n v="25"/>
    <x v="2"/>
  </r>
  <r>
    <n v="41736"/>
    <n v="3"/>
    <x v="52"/>
    <x v="1"/>
    <n v="25"/>
    <x v="2"/>
  </r>
  <r>
    <n v="41738"/>
    <n v="3"/>
    <x v="61"/>
    <x v="1"/>
    <n v="25"/>
    <x v="2"/>
  </r>
  <r>
    <n v="41748"/>
    <n v="3"/>
    <x v="69"/>
    <x v="1"/>
    <n v="25"/>
    <x v="2"/>
  </r>
  <r>
    <n v="41756"/>
    <n v="3"/>
    <x v="80"/>
    <x v="1"/>
    <n v="25"/>
    <x v="2"/>
  </r>
  <r>
    <n v="41759"/>
    <n v="3"/>
    <x v="81"/>
    <x v="1"/>
    <n v="25"/>
    <x v="2"/>
  </r>
  <r>
    <n v="41766"/>
    <n v="3"/>
    <x v="82"/>
    <x v="1"/>
    <n v="25"/>
    <x v="2"/>
  </r>
  <r>
    <n v="41771"/>
    <n v="3"/>
    <x v="39"/>
    <x v="1"/>
    <n v="25"/>
    <x v="2"/>
  </r>
  <r>
    <n v="41780"/>
    <n v="3"/>
    <x v="53"/>
    <x v="1"/>
    <n v="25"/>
    <x v="2"/>
  </r>
  <r>
    <n v="41787"/>
    <n v="3"/>
    <x v="64"/>
    <x v="1"/>
    <n v="25"/>
    <x v="2"/>
  </r>
  <r>
    <n v="41792"/>
    <n v="3"/>
    <x v="83"/>
    <x v="1"/>
    <n v="25"/>
    <x v="2"/>
  </r>
  <r>
    <n v="41794"/>
    <n v="3"/>
    <x v="84"/>
    <x v="1"/>
    <n v="25"/>
    <x v="2"/>
  </r>
  <r>
    <n v="41796"/>
    <n v="3"/>
    <x v="85"/>
    <x v="1"/>
    <n v="25"/>
    <x v="2"/>
  </r>
  <r>
    <n v="41800"/>
    <n v="3"/>
    <x v="75"/>
    <x v="1"/>
    <n v="25"/>
    <x v="2"/>
  </r>
  <r>
    <n v="41806"/>
    <n v="3"/>
    <x v="86"/>
    <x v="1"/>
    <n v="25"/>
    <x v="2"/>
  </r>
  <r>
    <n v="41816"/>
    <n v="3"/>
    <x v="87"/>
    <x v="1"/>
    <n v="25"/>
    <x v="2"/>
  </r>
  <r>
    <n v="41627"/>
    <n v="4"/>
    <x v="88"/>
    <x v="0"/>
    <n v="9"/>
    <x v="3"/>
  </r>
  <r>
    <n v="41634"/>
    <n v="4"/>
    <x v="45"/>
    <x v="0"/>
    <n v="9"/>
    <x v="3"/>
  </r>
  <r>
    <n v="41643"/>
    <n v="4"/>
    <x v="52"/>
    <x v="0"/>
    <n v="9"/>
    <x v="3"/>
  </r>
  <r>
    <n v="41648"/>
    <n v="4"/>
    <x v="84"/>
    <x v="0"/>
    <n v="9"/>
    <x v="3"/>
  </r>
  <r>
    <n v="41672"/>
    <n v="4"/>
    <x v="89"/>
    <x v="0"/>
    <n v="9"/>
    <x v="3"/>
  </r>
  <r>
    <n v="41705"/>
    <n v="4"/>
    <x v="90"/>
    <x v="0"/>
    <n v="9"/>
    <x v="3"/>
  </r>
  <r>
    <n v="41719"/>
    <n v="4"/>
    <x v="75"/>
    <x v="0"/>
    <n v="9"/>
    <x v="3"/>
  </r>
  <r>
    <n v="41725"/>
    <n v="4"/>
    <x v="52"/>
    <x v="0"/>
    <n v="9"/>
    <x v="3"/>
  </r>
  <r>
    <n v="41742"/>
    <n v="4"/>
    <x v="51"/>
    <x v="0"/>
    <n v="9"/>
    <x v="3"/>
  </r>
  <r>
    <n v="41742"/>
    <n v="4"/>
    <x v="91"/>
    <x v="0"/>
    <n v="9"/>
    <x v="3"/>
  </r>
  <r>
    <n v="41748"/>
    <n v="4"/>
    <x v="72"/>
    <x v="0"/>
    <n v="9"/>
    <x v="3"/>
  </r>
  <r>
    <n v="41756"/>
    <n v="4"/>
    <x v="62"/>
    <x v="0"/>
    <n v="9"/>
    <x v="3"/>
  </r>
  <r>
    <n v="41767"/>
    <n v="4"/>
    <x v="56"/>
    <x v="0"/>
    <n v="9"/>
    <x v="3"/>
  </r>
  <r>
    <n v="41778"/>
    <n v="4"/>
    <x v="75"/>
    <x v="0"/>
    <n v="9"/>
    <x v="3"/>
  </r>
  <r>
    <n v="41785"/>
    <n v="4"/>
    <x v="75"/>
    <x v="0"/>
    <n v="9"/>
    <x v="3"/>
  </r>
  <r>
    <n v="41788"/>
    <n v="4"/>
    <x v="92"/>
    <x v="0"/>
    <n v="9"/>
    <x v="3"/>
  </r>
  <r>
    <n v="41622"/>
    <n v="5"/>
    <x v="93"/>
    <x v="1"/>
    <n v="23"/>
    <x v="2"/>
  </r>
  <r>
    <n v="41623"/>
    <n v="5"/>
    <x v="94"/>
    <x v="1"/>
    <n v="23"/>
    <x v="2"/>
  </r>
  <r>
    <n v="41628"/>
    <n v="5"/>
    <x v="94"/>
    <x v="1"/>
    <n v="23"/>
    <x v="2"/>
  </r>
  <r>
    <n v="41632"/>
    <n v="5"/>
    <x v="95"/>
    <x v="1"/>
    <n v="23"/>
    <x v="2"/>
  </r>
  <r>
    <n v="41636"/>
    <n v="5"/>
    <x v="96"/>
    <x v="1"/>
    <n v="23"/>
    <x v="2"/>
  </r>
  <r>
    <n v="41639"/>
    <n v="5"/>
    <x v="97"/>
    <x v="1"/>
    <n v="23"/>
    <x v="2"/>
  </r>
  <r>
    <n v="41641"/>
    <n v="5"/>
    <x v="98"/>
    <x v="1"/>
    <n v="23"/>
    <x v="2"/>
  </r>
  <r>
    <n v="41642"/>
    <n v="5"/>
    <x v="99"/>
    <x v="1"/>
    <n v="23"/>
    <x v="2"/>
  </r>
  <r>
    <n v="41645"/>
    <n v="5"/>
    <x v="100"/>
    <x v="1"/>
    <n v="23"/>
    <x v="2"/>
  </r>
  <r>
    <n v="41647"/>
    <n v="5"/>
    <x v="101"/>
    <x v="1"/>
    <n v="23"/>
    <x v="2"/>
  </r>
  <r>
    <n v="41662"/>
    <n v="5"/>
    <x v="102"/>
    <x v="1"/>
    <n v="23"/>
    <x v="2"/>
  </r>
  <r>
    <n v="41663"/>
    <n v="5"/>
    <x v="103"/>
    <x v="1"/>
    <n v="23"/>
    <x v="2"/>
  </r>
  <r>
    <n v="41665"/>
    <n v="5"/>
    <x v="104"/>
    <x v="1"/>
    <n v="23"/>
    <x v="2"/>
  </r>
  <r>
    <n v="41669"/>
    <n v="5"/>
    <x v="105"/>
    <x v="1"/>
    <n v="23"/>
    <x v="2"/>
  </r>
  <r>
    <n v="41671"/>
    <n v="5"/>
    <x v="106"/>
    <x v="1"/>
    <n v="23"/>
    <x v="2"/>
  </r>
  <r>
    <n v="41673"/>
    <n v="5"/>
    <x v="107"/>
    <x v="1"/>
    <n v="23"/>
    <x v="2"/>
  </r>
  <r>
    <n v="41674"/>
    <n v="5"/>
    <x v="108"/>
    <x v="1"/>
    <n v="23"/>
    <x v="2"/>
  </r>
  <r>
    <n v="41675"/>
    <n v="5"/>
    <x v="109"/>
    <x v="1"/>
    <n v="23"/>
    <x v="2"/>
  </r>
  <r>
    <n v="41678"/>
    <n v="5"/>
    <x v="93"/>
    <x v="1"/>
    <n v="23"/>
    <x v="2"/>
  </r>
  <r>
    <n v="41684"/>
    <n v="5"/>
    <x v="97"/>
    <x v="1"/>
    <n v="23"/>
    <x v="2"/>
  </r>
  <r>
    <n v="41686"/>
    <n v="5"/>
    <x v="110"/>
    <x v="1"/>
    <n v="23"/>
    <x v="2"/>
  </r>
  <r>
    <n v="41693"/>
    <n v="5"/>
    <x v="111"/>
    <x v="1"/>
    <n v="23"/>
    <x v="2"/>
  </r>
  <r>
    <n v="41693"/>
    <n v="5"/>
    <x v="112"/>
    <x v="1"/>
    <n v="23"/>
    <x v="2"/>
  </r>
  <r>
    <n v="41703"/>
    <n v="5"/>
    <x v="113"/>
    <x v="1"/>
    <n v="23"/>
    <x v="2"/>
  </r>
  <r>
    <n v="41704"/>
    <n v="5"/>
    <x v="94"/>
    <x v="1"/>
    <n v="23"/>
    <x v="2"/>
  </r>
  <r>
    <n v="41707"/>
    <n v="5"/>
    <x v="101"/>
    <x v="1"/>
    <n v="23"/>
    <x v="2"/>
  </r>
  <r>
    <n v="41714"/>
    <n v="5"/>
    <x v="114"/>
    <x v="1"/>
    <n v="23"/>
    <x v="2"/>
  </r>
  <r>
    <n v="41715"/>
    <n v="5"/>
    <x v="97"/>
    <x v="1"/>
    <n v="23"/>
    <x v="2"/>
  </r>
  <r>
    <n v="41723"/>
    <n v="5"/>
    <x v="115"/>
    <x v="1"/>
    <n v="23"/>
    <x v="2"/>
  </r>
  <r>
    <n v="41736"/>
    <n v="5"/>
    <x v="116"/>
    <x v="1"/>
    <n v="23"/>
    <x v="2"/>
  </r>
  <r>
    <n v="41737"/>
    <n v="5"/>
    <x v="117"/>
    <x v="1"/>
    <n v="23"/>
    <x v="2"/>
  </r>
  <r>
    <n v="41741"/>
    <n v="5"/>
    <x v="118"/>
    <x v="1"/>
    <n v="23"/>
    <x v="2"/>
  </r>
  <r>
    <n v="41748"/>
    <n v="5"/>
    <x v="119"/>
    <x v="1"/>
    <n v="23"/>
    <x v="2"/>
  </r>
  <r>
    <n v="41751"/>
    <n v="5"/>
    <x v="120"/>
    <x v="1"/>
    <n v="23"/>
    <x v="2"/>
  </r>
  <r>
    <n v="41753"/>
    <n v="5"/>
    <x v="121"/>
    <x v="1"/>
    <n v="23"/>
    <x v="2"/>
  </r>
  <r>
    <n v="41754"/>
    <n v="5"/>
    <x v="122"/>
    <x v="1"/>
    <n v="23"/>
    <x v="2"/>
  </r>
  <r>
    <n v="41761"/>
    <n v="5"/>
    <x v="118"/>
    <x v="1"/>
    <n v="23"/>
    <x v="2"/>
  </r>
  <r>
    <n v="41763"/>
    <n v="5"/>
    <x v="123"/>
    <x v="1"/>
    <n v="23"/>
    <x v="2"/>
  </r>
  <r>
    <n v="41763"/>
    <n v="5"/>
    <x v="108"/>
    <x v="1"/>
    <n v="23"/>
    <x v="2"/>
  </r>
  <r>
    <n v="41765"/>
    <n v="5"/>
    <x v="124"/>
    <x v="1"/>
    <n v="23"/>
    <x v="2"/>
  </r>
  <r>
    <n v="41766"/>
    <n v="5"/>
    <x v="125"/>
    <x v="1"/>
    <n v="23"/>
    <x v="2"/>
  </r>
  <r>
    <n v="41772"/>
    <n v="5"/>
    <x v="115"/>
    <x v="1"/>
    <n v="23"/>
    <x v="2"/>
  </r>
  <r>
    <n v="41777"/>
    <n v="5"/>
    <x v="126"/>
    <x v="1"/>
    <n v="23"/>
    <x v="2"/>
  </r>
  <r>
    <n v="41780"/>
    <n v="5"/>
    <x v="127"/>
    <x v="1"/>
    <n v="23"/>
    <x v="2"/>
  </r>
  <r>
    <n v="41793"/>
    <n v="5"/>
    <x v="128"/>
    <x v="1"/>
    <n v="23"/>
    <x v="2"/>
  </r>
  <r>
    <n v="41795"/>
    <n v="5"/>
    <x v="129"/>
    <x v="1"/>
    <n v="23"/>
    <x v="2"/>
  </r>
  <r>
    <n v="41799"/>
    <n v="5"/>
    <x v="104"/>
    <x v="1"/>
    <n v="23"/>
    <x v="2"/>
  </r>
  <r>
    <n v="41804"/>
    <n v="5"/>
    <x v="130"/>
    <x v="1"/>
    <n v="23"/>
    <x v="2"/>
  </r>
  <r>
    <n v="41816"/>
    <n v="5"/>
    <x v="131"/>
    <x v="1"/>
    <n v="23"/>
    <x v="2"/>
  </r>
  <r>
    <n v="41634"/>
    <n v="6"/>
    <x v="119"/>
    <x v="1"/>
    <n v="17"/>
    <x v="0"/>
  </r>
  <r>
    <n v="41640"/>
    <n v="6"/>
    <x v="132"/>
    <x v="1"/>
    <n v="17"/>
    <x v="0"/>
  </r>
  <r>
    <n v="41663"/>
    <n v="6"/>
    <x v="118"/>
    <x v="1"/>
    <n v="17"/>
    <x v="0"/>
  </r>
  <r>
    <n v="41663"/>
    <n v="6"/>
    <x v="133"/>
    <x v="1"/>
    <n v="17"/>
    <x v="0"/>
  </r>
  <r>
    <n v="41666"/>
    <n v="6"/>
    <x v="96"/>
    <x v="1"/>
    <n v="17"/>
    <x v="0"/>
  </r>
  <r>
    <n v="41670"/>
    <n v="6"/>
    <x v="134"/>
    <x v="1"/>
    <n v="17"/>
    <x v="0"/>
  </r>
  <r>
    <n v="41670"/>
    <n v="6"/>
    <x v="135"/>
    <x v="1"/>
    <n v="17"/>
    <x v="0"/>
  </r>
  <r>
    <n v="41671"/>
    <n v="6"/>
    <x v="106"/>
    <x v="1"/>
    <n v="17"/>
    <x v="0"/>
  </r>
  <r>
    <n v="41672"/>
    <n v="6"/>
    <x v="136"/>
    <x v="1"/>
    <n v="17"/>
    <x v="0"/>
  </r>
  <r>
    <n v="41674"/>
    <n v="6"/>
    <x v="137"/>
    <x v="1"/>
    <n v="17"/>
    <x v="0"/>
  </r>
  <r>
    <n v="41676"/>
    <n v="6"/>
    <x v="127"/>
    <x v="1"/>
    <n v="17"/>
    <x v="0"/>
  </r>
  <r>
    <n v="41677"/>
    <n v="6"/>
    <x v="138"/>
    <x v="1"/>
    <n v="17"/>
    <x v="0"/>
  </r>
  <r>
    <n v="41688"/>
    <n v="6"/>
    <x v="103"/>
    <x v="1"/>
    <n v="17"/>
    <x v="0"/>
  </r>
  <r>
    <n v="41689"/>
    <n v="6"/>
    <x v="96"/>
    <x v="1"/>
    <n v="17"/>
    <x v="0"/>
  </r>
  <r>
    <n v="41692"/>
    <n v="6"/>
    <x v="139"/>
    <x v="1"/>
    <n v="17"/>
    <x v="0"/>
  </r>
  <r>
    <n v="41692"/>
    <n v="6"/>
    <x v="126"/>
    <x v="1"/>
    <n v="17"/>
    <x v="0"/>
  </r>
  <r>
    <n v="41695"/>
    <n v="6"/>
    <x v="140"/>
    <x v="1"/>
    <n v="17"/>
    <x v="0"/>
  </r>
  <r>
    <n v="41696"/>
    <n v="6"/>
    <x v="102"/>
    <x v="1"/>
    <n v="17"/>
    <x v="0"/>
  </r>
  <r>
    <n v="41699"/>
    <n v="6"/>
    <x v="141"/>
    <x v="1"/>
    <n v="17"/>
    <x v="0"/>
  </r>
  <r>
    <n v="41703"/>
    <n v="6"/>
    <x v="142"/>
    <x v="1"/>
    <n v="17"/>
    <x v="0"/>
  </r>
  <r>
    <n v="41705"/>
    <n v="6"/>
    <x v="143"/>
    <x v="1"/>
    <n v="17"/>
    <x v="0"/>
  </r>
  <r>
    <n v="41719"/>
    <n v="6"/>
    <x v="126"/>
    <x v="1"/>
    <n v="17"/>
    <x v="0"/>
  </r>
  <r>
    <n v="41725"/>
    <n v="6"/>
    <x v="144"/>
    <x v="1"/>
    <n v="17"/>
    <x v="0"/>
  </r>
  <r>
    <n v="41729"/>
    <n v="6"/>
    <x v="145"/>
    <x v="1"/>
    <n v="17"/>
    <x v="0"/>
  </r>
  <r>
    <n v="41731"/>
    <n v="6"/>
    <x v="117"/>
    <x v="1"/>
    <n v="17"/>
    <x v="0"/>
  </r>
  <r>
    <n v="41733"/>
    <n v="6"/>
    <x v="110"/>
    <x v="1"/>
    <n v="17"/>
    <x v="0"/>
  </r>
  <r>
    <n v="41742"/>
    <n v="6"/>
    <x v="146"/>
    <x v="1"/>
    <n v="17"/>
    <x v="0"/>
  </r>
  <r>
    <n v="41753"/>
    <n v="6"/>
    <x v="121"/>
    <x v="1"/>
    <n v="17"/>
    <x v="0"/>
  </r>
  <r>
    <n v="41755"/>
    <n v="6"/>
    <x v="144"/>
    <x v="1"/>
    <n v="17"/>
    <x v="0"/>
  </r>
  <r>
    <n v="41755"/>
    <n v="6"/>
    <x v="130"/>
    <x v="1"/>
    <n v="17"/>
    <x v="0"/>
  </r>
  <r>
    <n v="41757"/>
    <n v="6"/>
    <x v="147"/>
    <x v="1"/>
    <n v="17"/>
    <x v="0"/>
  </r>
  <r>
    <n v="41779"/>
    <n v="6"/>
    <x v="148"/>
    <x v="1"/>
    <n v="17"/>
    <x v="0"/>
  </r>
  <r>
    <n v="41785"/>
    <n v="6"/>
    <x v="149"/>
    <x v="1"/>
    <n v="17"/>
    <x v="0"/>
  </r>
  <r>
    <n v="41785"/>
    <n v="6"/>
    <x v="128"/>
    <x v="1"/>
    <n v="17"/>
    <x v="0"/>
  </r>
  <r>
    <n v="41797"/>
    <n v="6"/>
    <x v="125"/>
    <x v="1"/>
    <n v="17"/>
    <x v="0"/>
  </r>
  <r>
    <n v="41810"/>
    <n v="6"/>
    <x v="150"/>
    <x v="1"/>
    <n v="17"/>
    <x v="0"/>
  </r>
  <r>
    <n v="41813"/>
    <n v="6"/>
    <x v="151"/>
    <x v="1"/>
    <n v="17"/>
    <x v="0"/>
  </r>
  <r>
    <n v="41616"/>
    <n v="7"/>
    <x v="19"/>
    <x v="0"/>
    <n v="25"/>
    <x v="2"/>
  </r>
  <r>
    <n v="41626"/>
    <n v="7"/>
    <x v="13"/>
    <x v="0"/>
    <n v="25"/>
    <x v="2"/>
  </r>
  <r>
    <n v="41632"/>
    <n v="7"/>
    <x v="10"/>
    <x v="0"/>
    <n v="25"/>
    <x v="2"/>
  </r>
  <r>
    <n v="41636"/>
    <n v="7"/>
    <x v="152"/>
    <x v="0"/>
    <n v="25"/>
    <x v="2"/>
  </r>
  <r>
    <n v="41638"/>
    <n v="7"/>
    <x v="153"/>
    <x v="0"/>
    <n v="25"/>
    <x v="2"/>
  </r>
  <r>
    <n v="41646"/>
    <n v="7"/>
    <x v="154"/>
    <x v="0"/>
    <n v="25"/>
    <x v="2"/>
  </r>
  <r>
    <n v="41646"/>
    <n v="7"/>
    <x v="155"/>
    <x v="0"/>
    <n v="25"/>
    <x v="2"/>
  </r>
  <r>
    <n v="41647"/>
    <n v="7"/>
    <x v="30"/>
    <x v="0"/>
    <n v="25"/>
    <x v="2"/>
  </r>
  <r>
    <n v="41649"/>
    <n v="7"/>
    <x v="156"/>
    <x v="0"/>
    <n v="25"/>
    <x v="2"/>
  </r>
  <r>
    <n v="41649"/>
    <n v="7"/>
    <x v="157"/>
    <x v="0"/>
    <n v="25"/>
    <x v="2"/>
  </r>
  <r>
    <n v="41654"/>
    <n v="7"/>
    <x v="158"/>
    <x v="0"/>
    <n v="25"/>
    <x v="2"/>
  </r>
  <r>
    <n v="41654"/>
    <n v="7"/>
    <x v="159"/>
    <x v="0"/>
    <n v="25"/>
    <x v="2"/>
  </r>
  <r>
    <n v="41670"/>
    <n v="7"/>
    <x v="160"/>
    <x v="0"/>
    <n v="25"/>
    <x v="2"/>
  </r>
  <r>
    <n v="41670"/>
    <n v="7"/>
    <x v="19"/>
    <x v="0"/>
    <n v="25"/>
    <x v="2"/>
  </r>
  <r>
    <n v="41679"/>
    <n v="7"/>
    <x v="20"/>
    <x v="0"/>
    <n v="25"/>
    <x v="2"/>
  </r>
  <r>
    <n v="41685"/>
    <n v="7"/>
    <x v="156"/>
    <x v="0"/>
    <n v="25"/>
    <x v="2"/>
  </r>
  <r>
    <n v="41685"/>
    <n v="7"/>
    <x v="161"/>
    <x v="0"/>
    <n v="25"/>
    <x v="2"/>
  </r>
  <r>
    <n v="41685"/>
    <n v="7"/>
    <x v="152"/>
    <x v="0"/>
    <n v="25"/>
    <x v="2"/>
  </r>
  <r>
    <n v="41687"/>
    <n v="7"/>
    <x v="18"/>
    <x v="0"/>
    <n v="25"/>
    <x v="2"/>
  </r>
  <r>
    <n v="41691"/>
    <n v="7"/>
    <x v="152"/>
    <x v="0"/>
    <n v="25"/>
    <x v="2"/>
  </r>
  <r>
    <n v="41694"/>
    <n v="7"/>
    <x v="162"/>
    <x v="0"/>
    <n v="25"/>
    <x v="2"/>
  </r>
  <r>
    <n v="41702"/>
    <n v="7"/>
    <x v="163"/>
    <x v="0"/>
    <n v="25"/>
    <x v="2"/>
  </r>
  <r>
    <n v="41705"/>
    <n v="7"/>
    <x v="13"/>
    <x v="0"/>
    <n v="25"/>
    <x v="2"/>
  </r>
  <r>
    <n v="41710"/>
    <n v="7"/>
    <x v="18"/>
    <x v="0"/>
    <n v="25"/>
    <x v="2"/>
  </r>
  <r>
    <n v="41710"/>
    <n v="7"/>
    <x v="8"/>
    <x v="0"/>
    <n v="25"/>
    <x v="2"/>
  </r>
  <r>
    <n v="41722"/>
    <n v="7"/>
    <x v="164"/>
    <x v="0"/>
    <n v="25"/>
    <x v="2"/>
  </r>
  <r>
    <n v="41723"/>
    <n v="7"/>
    <x v="165"/>
    <x v="0"/>
    <n v="25"/>
    <x v="2"/>
  </r>
  <r>
    <n v="41725"/>
    <n v="7"/>
    <x v="166"/>
    <x v="0"/>
    <n v="25"/>
    <x v="2"/>
  </r>
  <r>
    <n v="41730"/>
    <n v="7"/>
    <x v="10"/>
    <x v="0"/>
    <n v="25"/>
    <x v="2"/>
  </r>
  <r>
    <n v="41730"/>
    <n v="7"/>
    <x v="9"/>
    <x v="0"/>
    <n v="25"/>
    <x v="2"/>
  </r>
  <r>
    <n v="41731"/>
    <n v="7"/>
    <x v="27"/>
    <x v="0"/>
    <n v="25"/>
    <x v="2"/>
  </r>
  <r>
    <n v="41736"/>
    <n v="7"/>
    <x v="161"/>
    <x v="0"/>
    <n v="25"/>
    <x v="2"/>
  </r>
  <r>
    <n v="41742"/>
    <n v="7"/>
    <x v="167"/>
    <x v="0"/>
    <n v="25"/>
    <x v="2"/>
  </r>
  <r>
    <n v="41746"/>
    <n v="7"/>
    <x v="0"/>
    <x v="0"/>
    <n v="25"/>
    <x v="2"/>
  </r>
  <r>
    <n v="41746"/>
    <n v="7"/>
    <x v="165"/>
    <x v="0"/>
    <n v="25"/>
    <x v="2"/>
  </r>
  <r>
    <n v="41747"/>
    <n v="7"/>
    <x v="162"/>
    <x v="0"/>
    <n v="25"/>
    <x v="2"/>
  </r>
  <r>
    <n v="41751"/>
    <n v="7"/>
    <x v="168"/>
    <x v="0"/>
    <n v="25"/>
    <x v="2"/>
  </r>
  <r>
    <n v="41752"/>
    <n v="7"/>
    <x v="10"/>
    <x v="0"/>
    <n v="25"/>
    <x v="2"/>
  </r>
  <r>
    <n v="41752"/>
    <n v="7"/>
    <x v="169"/>
    <x v="0"/>
    <n v="25"/>
    <x v="2"/>
  </r>
  <r>
    <n v="41764"/>
    <n v="7"/>
    <x v="155"/>
    <x v="0"/>
    <n v="25"/>
    <x v="2"/>
  </r>
  <r>
    <n v="41768"/>
    <n v="7"/>
    <x v="10"/>
    <x v="0"/>
    <n v="25"/>
    <x v="2"/>
  </r>
  <r>
    <n v="41776"/>
    <n v="7"/>
    <x v="22"/>
    <x v="0"/>
    <n v="25"/>
    <x v="2"/>
  </r>
  <r>
    <n v="41778"/>
    <n v="7"/>
    <x v="168"/>
    <x v="0"/>
    <n v="25"/>
    <x v="2"/>
  </r>
  <r>
    <n v="41784"/>
    <n v="7"/>
    <x v="18"/>
    <x v="0"/>
    <n v="25"/>
    <x v="2"/>
  </r>
  <r>
    <n v="41786"/>
    <n v="7"/>
    <x v="160"/>
    <x v="0"/>
    <n v="25"/>
    <x v="2"/>
  </r>
  <r>
    <n v="41789"/>
    <n v="7"/>
    <x v="170"/>
    <x v="0"/>
    <n v="25"/>
    <x v="2"/>
  </r>
  <r>
    <n v="41795"/>
    <n v="7"/>
    <x v="22"/>
    <x v="0"/>
    <n v="25"/>
    <x v="2"/>
  </r>
  <r>
    <n v="41802"/>
    <n v="7"/>
    <x v="22"/>
    <x v="0"/>
    <n v="25"/>
    <x v="2"/>
  </r>
  <r>
    <n v="41803"/>
    <n v="7"/>
    <x v="171"/>
    <x v="0"/>
    <n v="25"/>
    <x v="2"/>
  </r>
  <r>
    <n v="41814"/>
    <n v="7"/>
    <x v="172"/>
    <x v="0"/>
    <n v="25"/>
    <x v="2"/>
  </r>
  <r>
    <n v="41685"/>
    <n v="8"/>
    <x v="144"/>
    <x v="1"/>
    <n v="12"/>
    <x v="3"/>
  </r>
  <r>
    <n v="41687"/>
    <n v="8"/>
    <x v="173"/>
    <x v="1"/>
    <n v="12"/>
    <x v="3"/>
  </r>
  <r>
    <n v="41694"/>
    <n v="8"/>
    <x v="174"/>
    <x v="1"/>
    <n v="12"/>
    <x v="3"/>
  </r>
  <r>
    <n v="41700"/>
    <n v="8"/>
    <x v="175"/>
    <x v="1"/>
    <n v="12"/>
    <x v="3"/>
  </r>
  <r>
    <n v="41710"/>
    <n v="8"/>
    <x v="176"/>
    <x v="1"/>
    <n v="12"/>
    <x v="3"/>
  </r>
  <r>
    <n v="41712"/>
    <n v="8"/>
    <x v="144"/>
    <x v="1"/>
    <n v="12"/>
    <x v="3"/>
  </r>
  <r>
    <n v="41747"/>
    <n v="8"/>
    <x v="177"/>
    <x v="1"/>
    <n v="12"/>
    <x v="3"/>
  </r>
  <r>
    <n v="41751"/>
    <n v="8"/>
    <x v="178"/>
    <x v="1"/>
    <n v="12"/>
    <x v="3"/>
  </r>
  <r>
    <n v="41758"/>
    <n v="8"/>
    <x v="179"/>
    <x v="1"/>
    <n v="12"/>
    <x v="3"/>
  </r>
  <r>
    <n v="41767"/>
    <n v="8"/>
    <x v="180"/>
    <x v="1"/>
    <n v="12"/>
    <x v="3"/>
  </r>
  <r>
    <n v="41770"/>
    <n v="8"/>
    <x v="181"/>
    <x v="1"/>
    <n v="12"/>
    <x v="3"/>
  </r>
  <r>
    <n v="41776"/>
    <n v="8"/>
    <x v="182"/>
    <x v="1"/>
    <n v="12"/>
    <x v="3"/>
  </r>
  <r>
    <n v="41795"/>
    <n v="8"/>
    <x v="183"/>
    <x v="1"/>
    <n v="12"/>
    <x v="3"/>
  </r>
  <r>
    <n v="41806"/>
    <n v="8"/>
    <x v="184"/>
    <x v="1"/>
    <n v="12"/>
    <x v="3"/>
  </r>
  <r>
    <n v="41812"/>
    <n v="8"/>
    <x v="182"/>
    <x v="1"/>
    <n v="12"/>
    <x v="3"/>
  </r>
  <r>
    <n v="41617"/>
    <n v="9"/>
    <x v="185"/>
    <x v="1"/>
    <n v="16"/>
    <x v="0"/>
  </r>
  <r>
    <n v="41618"/>
    <n v="9"/>
    <x v="116"/>
    <x v="1"/>
    <n v="16"/>
    <x v="0"/>
  </r>
  <r>
    <n v="41618"/>
    <n v="9"/>
    <x v="108"/>
    <x v="1"/>
    <n v="16"/>
    <x v="0"/>
  </r>
  <r>
    <n v="41622"/>
    <n v="9"/>
    <x v="113"/>
    <x v="1"/>
    <n v="16"/>
    <x v="0"/>
  </r>
  <r>
    <n v="41623"/>
    <n v="9"/>
    <x v="134"/>
    <x v="1"/>
    <n v="16"/>
    <x v="0"/>
  </r>
  <r>
    <n v="41628"/>
    <n v="9"/>
    <x v="186"/>
    <x v="1"/>
    <n v="16"/>
    <x v="0"/>
  </r>
  <r>
    <n v="41630"/>
    <n v="9"/>
    <x v="150"/>
    <x v="1"/>
    <n v="16"/>
    <x v="0"/>
  </r>
  <r>
    <n v="41649"/>
    <n v="9"/>
    <x v="187"/>
    <x v="1"/>
    <n v="16"/>
    <x v="0"/>
  </r>
  <r>
    <n v="41651"/>
    <n v="9"/>
    <x v="188"/>
    <x v="1"/>
    <n v="16"/>
    <x v="0"/>
  </r>
  <r>
    <n v="41661"/>
    <n v="9"/>
    <x v="146"/>
    <x v="1"/>
    <n v="16"/>
    <x v="0"/>
  </r>
  <r>
    <n v="41667"/>
    <n v="9"/>
    <x v="189"/>
    <x v="1"/>
    <n v="16"/>
    <x v="0"/>
  </r>
  <r>
    <n v="41670"/>
    <n v="9"/>
    <x v="190"/>
    <x v="1"/>
    <n v="16"/>
    <x v="0"/>
  </r>
  <r>
    <n v="41671"/>
    <n v="9"/>
    <x v="102"/>
    <x v="1"/>
    <n v="16"/>
    <x v="0"/>
  </r>
  <r>
    <n v="41675"/>
    <n v="9"/>
    <x v="117"/>
    <x v="1"/>
    <n v="16"/>
    <x v="0"/>
  </r>
  <r>
    <n v="41679"/>
    <n v="9"/>
    <x v="191"/>
    <x v="1"/>
    <n v="16"/>
    <x v="0"/>
  </r>
  <r>
    <n v="41680"/>
    <n v="9"/>
    <x v="134"/>
    <x v="1"/>
    <n v="16"/>
    <x v="0"/>
  </r>
  <r>
    <n v="41684"/>
    <n v="9"/>
    <x v="142"/>
    <x v="1"/>
    <n v="16"/>
    <x v="0"/>
  </r>
  <r>
    <n v="41692"/>
    <n v="9"/>
    <x v="118"/>
    <x v="1"/>
    <n v="16"/>
    <x v="0"/>
  </r>
  <r>
    <n v="41694"/>
    <n v="9"/>
    <x v="186"/>
    <x v="1"/>
    <n v="16"/>
    <x v="0"/>
  </r>
  <r>
    <n v="41699"/>
    <n v="9"/>
    <x v="192"/>
    <x v="1"/>
    <n v="16"/>
    <x v="0"/>
  </r>
  <r>
    <n v="41702"/>
    <n v="9"/>
    <x v="193"/>
    <x v="1"/>
    <n v="16"/>
    <x v="0"/>
  </r>
  <r>
    <n v="41714"/>
    <n v="9"/>
    <x v="194"/>
    <x v="1"/>
    <n v="16"/>
    <x v="0"/>
  </r>
  <r>
    <n v="41716"/>
    <n v="9"/>
    <x v="195"/>
    <x v="1"/>
    <n v="16"/>
    <x v="0"/>
  </r>
  <r>
    <n v="41721"/>
    <n v="9"/>
    <x v="190"/>
    <x v="1"/>
    <n v="16"/>
    <x v="0"/>
  </r>
  <r>
    <n v="41731"/>
    <n v="9"/>
    <x v="120"/>
    <x v="1"/>
    <n v="16"/>
    <x v="0"/>
  </r>
  <r>
    <n v="41733"/>
    <n v="9"/>
    <x v="196"/>
    <x v="1"/>
    <n v="16"/>
    <x v="0"/>
  </r>
  <r>
    <n v="41746"/>
    <n v="9"/>
    <x v="179"/>
    <x v="1"/>
    <n v="16"/>
    <x v="0"/>
  </r>
  <r>
    <n v="41748"/>
    <n v="9"/>
    <x v="197"/>
    <x v="1"/>
    <n v="16"/>
    <x v="0"/>
  </r>
  <r>
    <n v="41754"/>
    <n v="9"/>
    <x v="193"/>
    <x v="1"/>
    <n v="16"/>
    <x v="0"/>
  </r>
  <r>
    <n v="41759"/>
    <n v="9"/>
    <x v="198"/>
    <x v="1"/>
    <n v="16"/>
    <x v="0"/>
  </r>
  <r>
    <n v="41768"/>
    <n v="9"/>
    <x v="199"/>
    <x v="1"/>
    <n v="16"/>
    <x v="0"/>
  </r>
  <r>
    <n v="41770"/>
    <n v="9"/>
    <x v="200"/>
    <x v="1"/>
    <n v="16"/>
    <x v="0"/>
  </r>
  <r>
    <n v="41780"/>
    <n v="9"/>
    <x v="117"/>
    <x v="1"/>
    <n v="16"/>
    <x v="0"/>
  </r>
  <r>
    <n v="41782"/>
    <n v="9"/>
    <x v="196"/>
    <x v="1"/>
    <n v="16"/>
    <x v="0"/>
  </r>
  <r>
    <n v="41782"/>
    <n v="9"/>
    <x v="201"/>
    <x v="1"/>
    <n v="16"/>
    <x v="0"/>
  </r>
  <r>
    <n v="41787"/>
    <n v="9"/>
    <x v="195"/>
    <x v="1"/>
    <n v="16"/>
    <x v="0"/>
  </r>
  <r>
    <n v="41787"/>
    <n v="9"/>
    <x v="202"/>
    <x v="1"/>
    <n v="16"/>
    <x v="0"/>
  </r>
  <r>
    <n v="41790"/>
    <n v="9"/>
    <x v="196"/>
    <x v="1"/>
    <n v="16"/>
    <x v="0"/>
  </r>
  <r>
    <n v="41796"/>
    <n v="9"/>
    <x v="203"/>
    <x v="1"/>
    <n v="16"/>
    <x v="0"/>
  </r>
  <r>
    <n v="41797"/>
    <n v="9"/>
    <x v="204"/>
    <x v="1"/>
    <n v="16"/>
    <x v="0"/>
  </r>
  <r>
    <n v="41801"/>
    <n v="9"/>
    <x v="177"/>
    <x v="1"/>
    <n v="16"/>
    <x v="0"/>
  </r>
  <r>
    <n v="41801"/>
    <n v="9"/>
    <x v="205"/>
    <x v="1"/>
    <n v="16"/>
    <x v="0"/>
  </r>
  <r>
    <n v="41619"/>
    <n v="10"/>
    <x v="206"/>
    <x v="1"/>
    <n v="10"/>
    <x v="3"/>
  </r>
  <r>
    <n v="41620"/>
    <n v="10"/>
    <x v="102"/>
    <x v="1"/>
    <n v="10"/>
    <x v="3"/>
  </r>
  <r>
    <n v="41622"/>
    <n v="10"/>
    <x v="187"/>
    <x v="1"/>
    <n v="10"/>
    <x v="3"/>
  </r>
  <r>
    <n v="41627"/>
    <n v="10"/>
    <x v="190"/>
    <x v="1"/>
    <n v="10"/>
    <x v="3"/>
  </r>
  <r>
    <n v="41629"/>
    <n v="10"/>
    <x v="199"/>
    <x v="1"/>
    <n v="10"/>
    <x v="3"/>
  </r>
  <r>
    <n v="41645"/>
    <n v="10"/>
    <x v="207"/>
    <x v="1"/>
    <n v="10"/>
    <x v="3"/>
  </r>
  <r>
    <n v="41647"/>
    <n v="10"/>
    <x v="113"/>
    <x v="1"/>
    <n v="10"/>
    <x v="3"/>
  </r>
  <r>
    <n v="41648"/>
    <n v="10"/>
    <x v="205"/>
    <x v="1"/>
    <n v="10"/>
    <x v="3"/>
  </r>
  <r>
    <n v="41672"/>
    <n v="10"/>
    <x v="208"/>
    <x v="1"/>
    <n v="10"/>
    <x v="3"/>
  </r>
  <r>
    <n v="41685"/>
    <n v="10"/>
    <x v="109"/>
    <x v="1"/>
    <n v="10"/>
    <x v="3"/>
  </r>
  <r>
    <n v="41685"/>
    <n v="10"/>
    <x v="209"/>
    <x v="1"/>
    <n v="10"/>
    <x v="3"/>
  </r>
  <r>
    <n v="41690"/>
    <n v="10"/>
    <x v="122"/>
    <x v="1"/>
    <n v="10"/>
    <x v="3"/>
  </r>
  <r>
    <n v="41706"/>
    <n v="10"/>
    <x v="186"/>
    <x v="1"/>
    <n v="10"/>
    <x v="3"/>
  </r>
  <r>
    <n v="41711"/>
    <n v="10"/>
    <x v="120"/>
    <x v="1"/>
    <n v="10"/>
    <x v="3"/>
  </r>
  <r>
    <n v="41713"/>
    <n v="10"/>
    <x v="210"/>
    <x v="1"/>
    <n v="10"/>
    <x v="3"/>
  </r>
  <r>
    <n v="41716"/>
    <n v="10"/>
    <x v="192"/>
    <x v="1"/>
    <n v="10"/>
    <x v="3"/>
  </r>
  <r>
    <n v="41721"/>
    <n v="10"/>
    <x v="211"/>
    <x v="1"/>
    <n v="10"/>
    <x v="3"/>
  </r>
  <r>
    <n v="41722"/>
    <n v="10"/>
    <x v="212"/>
    <x v="1"/>
    <n v="10"/>
    <x v="3"/>
  </r>
  <r>
    <n v="41765"/>
    <n v="10"/>
    <x v="142"/>
    <x v="1"/>
    <n v="10"/>
    <x v="3"/>
  </r>
  <r>
    <n v="41776"/>
    <n v="10"/>
    <x v="198"/>
    <x v="1"/>
    <n v="10"/>
    <x v="3"/>
  </r>
  <r>
    <n v="41791"/>
    <n v="10"/>
    <x v="184"/>
    <x v="1"/>
    <n v="10"/>
    <x v="3"/>
  </r>
  <r>
    <n v="41794"/>
    <n v="10"/>
    <x v="185"/>
    <x v="1"/>
    <n v="10"/>
    <x v="3"/>
  </r>
  <r>
    <n v="41640"/>
    <n v="11"/>
    <x v="213"/>
    <x v="0"/>
    <n v="6"/>
    <x v="4"/>
  </r>
  <r>
    <n v="41643"/>
    <n v="11"/>
    <x v="55"/>
    <x v="0"/>
    <n v="6"/>
    <x v="4"/>
  </r>
  <r>
    <n v="41658"/>
    <n v="11"/>
    <x v="88"/>
    <x v="0"/>
    <n v="6"/>
    <x v="4"/>
  </r>
  <r>
    <n v="41659"/>
    <n v="11"/>
    <x v="214"/>
    <x v="0"/>
    <n v="6"/>
    <x v="4"/>
  </r>
  <r>
    <n v="41685"/>
    <n v="11"/>
    <x v="215"/>
    <x v="0"/>
    <n v="6"/>
    <x v="4"/>
  </r>
  <r>
    <n v="41690"/>
    <n v="11"/>
    <x v="85"/>
    <x v="0"/>
    <n v="6"/>
    <x v="4"/>
  </r>
  <r>
    <n v="41702"/>
    <n v="11"/>
    <x v="81"/>
    <x v="0"/>
    <n v="6"/>
    <x v="4"/>
  </r>
  <r>
    <n v="41709"/>
    <n v="11"/>
    <x v="216"/>
    <x v="0"/>
    <n v="6"/>
    <x v="4"/>
  </r>
  <r>
    <n v="41714"/>
    <n v="11"/>
    <x v="77"/>
    <x v="0"/>
    <n v="6"/>
    <x v="4"/>
  </r>
  <r>
    <n v="41724"/>
    <n v="11"/>
    <x v="65"/>
    <x v="0"/>
    <n v="6"/>
    <x v="4"/>
  </r>
  <r>
    <n v="41731"/>
    <n v="11"/>
    <x v="51"/>
    <x v="0"/>
    <n v="6"/>
    <x v="4"/>
  </r>
  <r>
    <n v="41754"/>
    <n v="11"/>
    <x v="83"/>
    <x v="0"/>
    <n v="6"/>
    <x v="4"/>
  </r>
  <r>
    <n v="41759"/>
    <n v="11"/>
    <x v="217"/>
    <x v="0"/>
    <n v="6"/>
    <x v="4"/>
  </r>
  <r>
    <n v="41775"/>
    <n v="11"/>
    <x v="45"/>
    <x v="0"/>
    <n v="6"/>
    <x v="4"/>
  </r>
  <r>
    <n v="41776"/>
    <n v="11"/>
    <x v="64"/>
    <x v="0"/>
    <n v="6"/>
    <x v="4"/>
  </r>
  <r>
    <n v="41791"/>
    <n v="11"/>
    <x v="64"/>
    <x v="0"/>
    <n v="6"/>
    <x v="4"/>
  </r>
  <r>
    <n v="41799"/>
    <n v="11"/>
    <x v="49"/>
    <x v="0"/>
    <n v="6"/>
    <x v="4"/>
  </r>
  <r>
    <n v="41809"/>
    <n v="11"/>
    <x v="218"/>
    <x v="0"/>
    <n v="6"/>
    <x v="4"/>
  </r>
  <r>
    <n v="41618"/>
    <n v="12"/>
    <x v="219"/>
    <x v="0"/>
    <n v="8"/>
    <x v="3"/>
  </r>
  <r>
    <n v="41633"/>
    <n v="12"/>
    <x v="30"/>
    <x v="0"/>
    <n v="8"/>
    <x v="3"/>
  </r>
  <r>
    <n v="41633"/>
    <n v="12"/>
    <x v="220"/>
    <x v="0"/>
    <n v="8"/>
    <x v="3"/>
  </r>
  <r>
    <n v="41638"/>
    <n v="12"/>
    <x v="11"/>
    <x v="0"/>
    <n v="8"/>
    <x v="3"/>
  </r>
  <r>
    <n v="41646"/>
    <n v="12"/>
    <x v="166"/>
    <x v="0"/>
    <n v="8"/>
    <x v="3"/>
  </r>
  <r>
    <n v="41647"/>
    <n v="12"/>
    <x v="31"/>
    <x v="0"/>
    <n v="8"/>
    <x v="3"/>
  </r>
  <r>
    <n v="41660"/>
    <n v="12"/>
    <x v="221"/>
    <x v="0"/>
    <n v="8"/>
    <x v="3"/>
  </r>
  <r>
    <n v="41662"/>
    <n v="12"/>
    <x v="154"/>
    <x v="0"/>
    <n v="8"/>
    <x v="3"/>
  </r>
  <r>
    <n v="41670"/>
    <n v="12"/>
    <x v="163"/>
    <x v="0"/>
    <n v="8"/>
    <x v="3"/>
  </r>
  <r>
    <n v="41679"/>
    <n v="12"/>
    <x v="156"/>
    <x v="0"/>
    <n v="8"/>
    <x v="3"/>
  </r>
  <r>
    <n v="41681"/>
    <n v="12"/>
    <x v="20"/>
    <x v="0"/>
    <n v="8"/>
    <x v="3"/>
  </r>
  <r>
    <n v="41685"/>
    <n v="12"/>
    <x v="9"/>
    <x v="0"/>
    <n v="8"/>
    <x v="3"/>
  </r>
  <r>
    <n v="41686"/>
    <n v="12"/>
    <x v="2"/>
    <x v="0"/>
    <n v="8"/>
    <x v="3"/>
  </r>
  <r>
    <n v="41696"/>
    <n v="12"/>
    <x v="222"/>
    <x v="0"/>
    <n v="8"/>
    <x v="3"/>
  </r>
  <r>
    <n v="41701"/>
    <n v="12"/>
    <x v="221"/>
    <x v="0"/>
    <n v="8"/>
    <x v="3"/>
  </r>
  <r>
    <n v="41705"/>
    <n v="12"/>
    <x v="20"/>
    <x v="0"/>
    <n v="8"/>
    <x v="3"/>
  </r>
  <r>
    <n v="41729"/>
    <n v="12"/>
    <x v="166"/>
    <x v="0"/>
    <n v="8"/>
    <x v="3"/>
  </r>
  <r>
    <n v="41749"/>
    <n v="12"/>
    <x v="2"/>
    <x v="0"/>
    <n v="8"/>
    <x v="3"/>
  </r>
  <r>
    <n v="41754"/>
    <n v="12"/>
    <x v="222"/>
    <x v="0"/>
    <n v="8"/>
    <x v="3"/>
  </r>
  <r>
    <n v="41765"/>
    <n v="12"/>
    <x v="169"/>
    <x v="0"/>
    <n v="8"/>
    <x v="3"/>
  </r>
  <r>
    <n v="41769"/>
    <n v="12"/>
    <x v="155"/>
    <x v="0"/>
    <n v="8"/>
    <x v="3"/>
  </r>
  <r>
    <n v="41770"/>
    <n v="12"/>
    <x v="223"/>
    <x v="0"/>
    <n v="8"/>
    <x v="3"/>
  </r>
  <r>
    <n v="41775"/>
    <n v="12"/>
    <x v="20"/>
    <x v="0"/>
    <n v="8"/>
    <x v="3"/>
  </r>
  <r>
    <n v="41778"/>
    <n v="12"/>
    <x v="27"/>
    <x v="0"/>
    <n v="8"/>
    <x v="3"/>
  </r>
  <r>
    <n v="41797"/>
    <n v="12"/>
    <x v="224"/>
    <x v="0"/>
    <n v="8"/>
    <x v="3"/>
  </r>
  <r>
    <n v="41797"/>
    <n v="12"/>
    <x v="7"/>
    <x v="0"/>
    <n v="8"/>
    <x v="3"/>
  </r>
  <r>
    <n v="41799"/>
    <n v="12"/>
    <x v="157"/>
    <x v="0"/>
    <n v="8"/>
    <x v="3"/>
  </r>
  <r>
    <n v="41799"/>
    <n v="12"/>
    <x v="9"/>
    <x v="0"/>
    <n v="8"/>
    <x v="3"/>
  </r>
  <r>
    <n v="41808"/>
    <n v="12"/>
    <x v="220"/>
    <x v="0"/>
    <n v="8"/>
    <x v="3"/>
  </r>
  <r>
    <n v="41814"/>
    <n v="12"/>
    <x v="22"/>
    <x v="0"/>
    <n v="8"/>
    <x v="3"/>
  </r>
  <r>
    <n v="41620"/>
    <n v="13"/>
    <x v="225"/>
    <x v="1"/>
    <n v="3"/>
    <x v="4"/>
  </r>
  <r>
    <n v="41626"/>
    <n v="13"/>
    <x v="83"/>
    <x v="1"/>
    <n v="3"/>
    <x v="4"/>
  </r>
  <r>
    <n v="41649"/>
    <n v="13"/>
    <x v="226"/>
    <x v="1"/>
    <n v="3"/>
    <x v="4"/>
  </r>
  <r>
    <n v="41653"/>
    <n v="13"/>
    <x v="87"/>
    <x v="1"/>
    <n v="3"/>
    <x v="4"/>
  </r>
  <r>
    <n v="41659"/>
    <n v="13"/>
    <x v="227"/>
    <x v="1"/>
    <n v="3"/>
    <x v="4"/>
  </r>
  <r>
    <n v="41668"/>
    <n v="13"/>
    <x v="228"/>
    <x v="1"/>
    <n v="3"/>
    <x v="4"/>
  </r>
  <r>
    <n v="41672"/>
    <n v="13"/>
    <x v="229"/>
    <x v="1"/>
    <n v="3"/>
    <x v="4"/>
  </r>
  <r>
    <n v="41709"/>
    <n v="13"/>
    <x v="82"/>
    <x v="1"/>
    <n v="3"/>
    <x v="4"/>
  </r>
  <r>
    <n v="41712"/>
    <n v="13"/>
    <x v="80"/>
    <x v="1"/>
    <n v="3"/>
    <x v="4"/>
  </r>
  <r>
    <n v="41719"/>
    <n v="13"/>
    <x v="90"/>
    <x v="1"/>
    <n v="3"/>
    <x v="4"/>
  </r>
  <r>
    <n v="41743"/>
    <n v="13"/>
    <x v="90"/>
    <x v="1"/>
    <n v="3"/>
    <x v="4"/>
  </r>
  <r>
    <n v="41744"/>
    <n v="13"/>
    <x v="229"/>
    <x v="1"/>
    <n v="3"/>
    <x v="4"/>
  </r>
  <r>
    <n v="41748"/>
    <n v="13"/>
    <x v="230"/>
    <x v="1"/>
    <n v="3"/>
    <x v="4"/>
  </r>
  <r>
    <n v="41752"/>
    <n v="13"/>
    <x v="231"/>
    <x v="1"/>
    <n v="3"/>
    <x v="4"/>
  </r>
  <r>
    <n v="41761"/>
    <n v="13"/>
    <x v="61"/>
    <x v="1"/>
    <n v="3"/>
    <x v="4"/>
  </r>
  <r>
    <n v="41781"/>
    <n v="13"/>
    <x v="72"/>
    <x v="1"/>
    <n v="3"/>
    <x v="4"/>
  </r>
  <r>
    <n v="41635"/>
    <n v="14"/>
    <x v="87"/>
    <x v="1"/>
    <n v="4"/>
    <x v="4"/>
  </r>
  <r>
    <n v="41651"/>
    <n v="14"/>
    <x v="232"/>
    <x v="1"/>
    <n v="4"/>
    <x v="4"/>
  </r>
  <r>
    <n v="41672"/>
    <n v="14"/>
    <x v="62"/>
    <x v="1"/>
    <n v="4"/>
    <x v="4"/>
  </r>
  <r>
    <n v="41689"/>
    <n v="14"/>
    <x v="233"/>
    <x v="1"/>
    <n v="4"/>
    <x v="4"/>
  </r>
  <r>
    <n v="41693"/>
    <n v="14"/>
    <x v="234"/>
    <x v="1"/>
    <n v="4"/>
    <x v="4"/>
  </r>
  <r>
    <n v="41707"/>
    <n v="14"/>
    <x v="66"/>
    <x v="1"/>
    <n v="4"/>
    <x v="4"/>
  </r>
  <r>
    <n v="41709"/>
    <n v="14"/>
    <x v="57"/>
    <x v="1"/>
    <n v="4"/>
    <x v="4"/>
  </r>
  <r>
    <n v="41709"/>
    <n v="14"/>
    <x v="85"/>
    <x v="1"/>
    <n v="4"/>
    <x v="4"/>
  </r>
  <r>
    <n v="41710"/>
    <n v="14"/>
    <x v="235"/>
    <x v="1"/>
    <n v="4"/>
    <x v="4"/>
  </r>
  <r>
    <n v="41710"/>
    <n v="14"/>
    <x v="236"/>
    <x v="1"/>
    <n v="4"/>
    <x v="4"/>
  </r>
  <r>
    <n v="41713"/>
    <n v="14"/>
    <x v="237"/>
    <x v="1"/>
    <n v="4"/>
    <x v="4"/>
  </r>
  <r>
    <n v="41730"/>
    <n v="14"/>
    <x v="90"/>
    <x v="1"/>
    <n v="4"/>
    <x v="4"/>
  </r>
  <r>
    <n v="41734"/>
    <n v="14"/>
    <x v="213"/>
    <x v="1"/>
    <n v="4"/>
    <x v="4"/>
  </r>
  <r>
    <n v="41734"/>
    <n v="14"/>
    <x v="235"/>
    <x v="1"/>
    <n v="4"/>
    <x v="4"/>
  </r>
  <r>
    <n v="41746"/>
    <n v="14"/>
    <x v="238"/>
    <x v="1"/>
    <n v="4"/>
    <x v="4"/>
  </r>
  <r>
    <n v="41759"/>
    <n v="14"/>
    <x v="234"/>
    <x v="1"/>
    <n v="4"/>
    <x v="4"/>
  </r>
  <r>
    <n v="41765"/>
    <n v="14"/>
    <x v="239"/>
    <x v="1"/>
    <n v="4"/>
    <x v="4"/>
  </r>
  <r>
    <n v="41770"/>
    <n v="14"/>
    <x v="213"/>
    <x v="1"/>
    <n v="4"/>
    <x v="4"/>
  </r>
  <r>
    <n v="41783"/>
    <n v="14"/>
    <x v="226"/>
    <x v="1"/>
    <n v="4"/>
    <x v="4"/>
  </r>
  <r>
    <n v="41815"/>
    <n v="14"/>
    <x v="240"/>
    <x v="1"/>
    <n v="4"/>
    <x v="4"/>
  </r>
  <r>
    <n v="41622"/>
    <n v="15"/>
    <x v="193"/>
    <x v="1"/>
    <n v="13"/>
    <x v="3"/>
  </r>
  <r>
    <n v="41625"/>
    <n v="15"/>
    <x v="241"/>
    <x v="1"/>
    <n v="13"/>
    <x v="3"/>
  </r>
  <r>
    <n v="41625"/>
    <n v="15"/>
    <x v="101"/>
    <x v="1"/>
    <n v="13"/>
    <x v="3"/>
  </r>
  <r>
    <n v="41652"/>
    <n v="15"/>
    <x v="197"/>
    <x v="1"/>
    <n v="13"/>
    <x v="3"/>
  </r>
  <r>
    <n v="41652"/>
    <n v="15"/>
    <x v="137"/>
    <x v="1"/>
    <n v="13"/>
    <x v="3"/>
  </r>
  <r>
    <n v="41655"/>
    <n v="15"/>
    <x v="174"/>
    <x v="1"/>
    <n v="13"/>
    <x v="3"/>
  </r>
  <r>
    <n v="41658"/>
    <n v="15"/>
    <x v="105"/>
    <x v="1"/>
    <n v="13"/>
    <x v="3"/>
  </r>
  <r>
    <n v="41661"/>
    <n v="15"/>
    <x v="115"/>
    <x v="1"/>
    <n v="13"/>
    <x v="3"/>
  </r>
  <r>
    <n v="41669"/>
    <n v="15"/>
    <x v="197"/>
    <x v="1"/>
    <n v="13"/>
    <x v="3"/>
  </r>
  <r>
    <n v="41670"/>
    <n v="15"/>
    <x v="130"/>
    <x v="1"/>
    <n v="13"/>
    <x v="3"/>
  </r>
  <r>
    <n v="41682"/>
    <n v="15"/>
    <x v="205"/>
    <x v="1"/>
    <n v="13"/>
    <x v="3"/>
  </r>
  <r>
    <n v="41683"/>
    <n v="15"/>
    <x v="204"/>
    <x v="1"/>
    <n v="13"/>
    <x v="3"/>
  </r>
  <r>
    <n v="41684"/>
    <n v="15"/>
    <x v="119"/>
    <x v="1"/>
    <n v="13"/>
    <x v="3"/>
  </r>
  <r>
    <n v="41685"/>
    <n v="15"/>
    <x v="208"/>
    <x v="1"/>
    <n v="13"/>
    <x v="3"/>
  </r>
  <r>
    <n v="41692"/>
    <n v="15"/>
    <x v="142"/>
    <x v="1"/>
    <n v="13"/>
    <x v="3"/>
  </r>
  <r>
    <n v="41696"/>
    <n v="15"/>
    <x v="120"/>
    <x v="1"/>
    <n v="13"/>
    <x v="3"/>
  </r>
  <r>
    <n v="41703"/>
    <n v="15"/>
    <x v="242"/>
    <x v="1"/>
    <n v="13"/>
    <x v="3"/>
  </r>
  <r>
    <n v="41712"/>
    <n v="15"/>
    <x v="243"/>
    <x v="1"/>
    <n v="13"/>
    <x v="3"/>
  </r>
  <r>
    <n v="41716"/>
    <n v="15"/>
    <x v="244"/>
    <x v="1"/>
    <n v="13"/>
    <x v="3"/>
  </r>
  <r>
    <n v="41725"/>
    <n v="15"/>
    <x v="109"/>
    <x v="1"/>
    <n v="13"/>
    <x v="3"/>
  </r>
  <r>
    <n v="41726"/>
    <n v="15"/>
    <x v="245"/>
    <x v="1"/>
    <n v="13"/>
    <x v="3"/>
  </r>
  <r>
    <n v="41726"/>
    <n v="15"/>
    <x v="191"/>
    <x v="1"/>
    <n v="13"/>
    <x v="3"/>
  </r>
  <r>
    <n v="41732"/>
    <n v="15"/>
    <x v="122"/>
    <x v="1"/>
    <n v="13"/>
    <x v="3"/>
  </r>
  <r>
    <n v="41736"/>
    <n v="15"/>
    <x v="246"/>
    <x v="1"/>
    <n v="13"/>
    <x v="3"/>
  </r>
  <r>
    <n v="41749"/>
    <n v="15"/>
    <x v="142"/>
    <x v="1"/>
    <n v="13"/>
    <x v="3"/>
  </r>
  <r>
    <n v="41751"/>
    <n v="15"/>
    <x v="247"/>
    <x v="1"/>
    <n v="13"/>
    <x v="3"/>
  </r>
  <r>
    <n v="41758"/>
    <n v="15"/>
    <x v="102"/>
    <x v="1"/>
    <n v="13"/>
    <x v="3"/>
  </r>
  <r>
    <n v="41759"/>
    <n v="15"/>
    <x v="248"/>
    <x v="1"/>
    <n v="13"/>
    <x v="3"/>
  </r>
  <r>
    <n v="41762"/>
    <n v="15"/>
    <x v="197"/>
    <x v="1"/>
    <n v="13"/>
    <x v="3"/>
  </r>
  <r>
    <n v="41771"/>
    <n v="15"/>
    <x v="200"/>
    <x v="1"/>
    <n v="13"/>
    <x v="3"/>
  </r>
  <r>
    <n v="41775"/>
    <n v="15"/>
    <x v="100"/>
    <x v="1"/>
    <n v="13"/>
    <x v="3"/>
  </r>
  <r>
    <n v="41783"/>
    <n v="15"/>
    <x v="212"/>
    <x v="1"/>
    <n v="13"/>
    <x v="3"/>
  </r>
  <r>
    <n v="41790"/>
    <n v="15"/>
    <x v="187"/>
    <x v="1"/>
    <n v="13"/>
    <x v="3"/>
  </r>
  <r>
    <n v="41793"/>
    <n v="15"/>
    <x v="102"/>
    <x v="1"/>
    <n v="13"/>
    <x v="3"/>
  </r>
  <r>
    <n v="41795"/>
    <n v="15"/>
    <x v="135"/>
    <x v="1"/>
    <n v="13"/>
    <x v="3"/>
  </r>
  <r>
    <n v="41802"/>
    <n v="15"/>
    <x v="243"/>
    <x v="1"/>
    <n v="13"/>
    <x v="3"/>
  </r>
  <r>
    <n v="41803"/>
    <n v="15"/>
    <x v="138"/>
    <x v="1"/>
    <n v="13"/>
    <x v="3"/>
  </r>
  <r>
    <n v="41806"/>
    <n v="15"/>
    <x v="245"/>
    <x v="1"/>
    <n v="13"/>
    <x v="3"/>
  </r>
  <r>
    <n v="41631"/>
    <n v="16"/>
    <x v="249"/>
    <x v="1"/>
    <n v="1"/>
    <x v="4"/>
  </r>
  <r>
    <n v="41683"/>
    <n v="16"/>
    <x v="57"/>
    <x v="1"/>
    <n v="1"/>
    <x v="4"/>
  </r>
  <r>
    <n v="41686"/>
    <n v="16"/>
    <x v="250"/>
    <x v="1"/>
    <n v="1"/>
    <x v="4"/>
  </r>
  <r>
    <n v="41692"/>
    <n v="16"/>
    <x v="79"/>
    <x v="1"/>
    <n v="1"/>
    <x v="4"/>
  </r>
  <r>
    <n v="41714"/>
    <n v="16"/>
    <x v="251"/>
    <x v="1"/>
    <n v="1"/>
    <x v="4"/>
  </r>
  <r>
    <n v="41719"/>
    <n v="16"/>
    <x v="45"/>
    <x v="1"/>
    <n v="1"/>
    <x v="4"/>
  </r>
  <r>
    <n v="41721"/>
    <n v="16"/>
    <x v="252"/>
    <x v="1"/>
    <n v="1"/>
    <x v="4"/>
  </r>
  <r>
    <n v="41729"/>
    <n v="16"/>
    <x v="213"/>
    <x v="1"/>
    <n v="1"/>
    <x v="4"/>
  </r>
  <r>
    <n v="41731"/>
    <n v="16"/>
    <x v="92"/>
    <x v="1"/>
    <n v="1"/>
    <x v="4"/>
  </r>
  <r>
    <n v="41741"/>
    <n v="16"/>
    <x v="253"/>
    <x v="1"/>
    <n v="1"/>
    <x v="4"/>
  </r>
  <r>
    <n v="41745"/>
    <n v="16"/>
    <x v="254"/>
    <x v="1"/>
    <n v="1"/>
    <x v="4"/>
  </r>
  <r>
    <n v="41750"/>
    <n v="16"/>
    <x v="64"/>
    <x v="1"/>
    <n v="1"/>
    <x v="4"/>
  </r>
  <r>
    <n v="41770"/>
    <n v="16"/>
    <x v="56"/>
    <x v="1"/>
    <n v="1"/>
    <x v="4"/>
  </r>
  <r>
    <n v="41774"/>
    <n v="16"/>
    <x v="255"/>
    <x v="1"/>
    <n v="1"/>
    <x v="4"/>
  </r>
  <r>
    <n v="41811"/>
    <n v="16"/>
    <x v="52"/>
    <x v="1"/>
    <n v="1"/>
    <x v="4"/>
  </r>
  <r>
    <n v="41816"/>
    <n v="16"/>
    <x v="91"/>
    <x v="1"/>
    <n v="1"/>
    <x v="4"/>
  </r>
  <r>
    <n v="41619"/>
    <n v="17"/>
    <x v="256"/>
    <x v="1"/>
    <n v="6"/>
    <x v="4"/>
  </r>
  <r>
    <n v="41638"/>
    <n v="17"/>
    <x v="257"/>
    <x v="1"/>
    <n v="6"/>
    <x v="4"/>
  </r>
  <r>
    <n v="41640"/>
    <n v="17"/>
    <x v="116"/>
    <x v="1"/>
    <n v="6"/>
    <x v="4"/>
  </r>
  <r>
    <n v="41664"/>
    <n v="17"/>
    <x v="133"/>
    <x v="1"/>
    <n v="6"/>
    <x v="4"/>
  </r>
  <r>
    <n v="41687"/>
    <n v="17"/>
    <x v="258"/>
    <x v="1"/>
    <n v="6"/>
    <x v="4"/>
  </r>
  <r>
    <n v="41692"/>
    <n v="17"/>
    <x v="151"/>
    <x v="1"/>
    <n v="6"/>
    <x v="4"/>
  </r>
  <r>
    <n v="41708"/>
    <n v="17"/>
    <x v="184"/>
    <x v="1"/>
    <n v="6"/>
    <x v="4"/>
  </r>
  <r>
    <n v="41709"/>
    <n v="17"/>
    <x v="246"/>
    <x v="1"/>
    <n v="6"/>
    <x v="4"/>
  </r>
  <r>
    <n v="41717"/>
    <n v="17"/>
    <x v="118"/>
    <x v="1"/>
    <n v="6"/>
    <x v="4"/>
  </r>
  <r>
    <n v="41719"/>
    <n v="17"/>
    <x v="121"/>
    <x v="1"/>
    <n v="6"/>
    <x v="4"/>
  </r>
  <r>
    <n v="41734"/>
    <n v="17"/>
    <x v="208"/>
    <x v="1"/>
    <n v="6"/>
    <x v="4"/>
  </r>
  <r>
    <n v="41739"/>
    <n v="17"/>
    <x v="243"/>
    <x v="1"/>
    <n v="6"/>
    <x v="4"/>
  </r>
  <r>
    <n v="41740"/>
    <n v="17"/>
    <x v="97"/>
    <x v="1"/>
    <n v="6"/>
    <x v="4"/>
  </r>
  <r>
    <n v="41755"/>
    <n v="17"/>
    <x v="136"/>
    <x v="1"/>
    <n v="6"/>
    <x v="4"/>
  </r>
  <r>
    <n v="41764"/>
    <n v="17"/>
    <x v="134"/>
    <x v="1"/>
    <n v="6"/>
    <x v="4"/>
  </r>
  <r>
    <n v="41767"/>
    <n v="17"/>
    <x v="259"/>
    <x v="1"/>
    <n v="6"/>
    <x v="4"/>
  </r>
  <r>
    <n v="41769"/>
    <n v="17"/>
    <x v="132"/>
    <x v="1"/>
    <n v="6"/>
    <x v="4"/>
  </r>
  <r>
    <n v="41778"/>
    <n v="17"/>
    <x v="191"/>
    <x v="1"/>
    <n v="6"/>
    <x v="4"/>
  </r>
  <r>
    <n v="41782"/>
    <n v="17"/>
    <x v="247"/>
    <x v="1"/>
    <n v="6"/>
    <x v="4"/>
  </r>
  <r>
    <n v="41785"/>
    <n v="17"/>
    <x v="125"/>
    <x v="1"/>
    <n v="6"/>
    <x v="4"/>
  </r>
  <r>
    <n v="41791"/>
    <n v="17"/>
    <x v="260"/>
    <x v="1"/>
    <n v="6"/>
    <x v="4"/>
  </r>
  <r>
    <n v="41795"/>
    <n v="17"/>
    <x v="261"/>
    <x v="1"/>
    <n v="6"/>
    <x v="4"/>
  </r>
  <r>
    <n v="41795"/>
    <n v="17"/>
    <x v="110"/>
    <x v="1"/>
    <n v="6"/>
    <x v="4"/>
  </r>
  <r>
    <n v="41799"/>
    <n v="17"/>
    <x v="112"/>
    <x v="1"/>
    <n v="6"/>
    <x v="4"/>
  </r>
  <r>
    <n v="41810"/>
    <n v="17"/>
    <x v="208"/>
    <x v="1"/>
    <n v="6"/>
    <x v="4"/>
  </r>
  <r>
    <n v="41812"/>
    <n v="17"/>
    <x v="262"/>
    <x v="1"/>
    <n v="6"/>
    <x v="4"/>
  </r>
  <r>
    <n v="41623"/>
    <n v="18"/>
    <x v="125"/>
    <x v="1"/>
    <n v="4"/>
    <x v="4"/>
  </r>
  <r>
    <n v="41625"/>
    <n v="18"/>
    <x v="248"/>
    <x v="1"/>
    <n v="4"/>
    <x v="4"/>
  </r>
  <r>
    <n v="41629"/>
    <n v="18"/>
    <x v="120"/>
    <x v="1"/>
    <n v="4"/>
    <x v="4"/>
  </r>
  <r>
    <n v="41637"/>
    <n v="18"/>
    <x v="128"/>
    <x v="1"/>
    <n v="4"/>
    <x v="4"/>
  </r>
  <r>
    <n v="41653"/>
    <n v="18"/>
    <x v="263"/>
    <x v="1"/>
    <n v="4"/>
    <x v="4"/>
  </r>
  <r>
    <n v="41657"/>
    <n v="18"/>
    <x v="264"/>
    <x v="1"/>
    <n v="4"/>
    <x v="4"/>
  </r>
  <r>
    <n v="41663"/>
    <n v="18"/>
    <x v="263"/>
    <x v="1"/>
    <n v="4"/>
    <x v="4"/>
  </r>
  <r>
    <n v="41666"/>
    <n v="18"/>
    <x v="194"/>
    <x v="1"/>
    <n v="4"/>
    <x v="4"/>
  </r>
  <r>
    <n v="41676"/>
    <n v="18"/>
    <x v="265"/>
    <x v="1"/>
    <n v="4"/>
    <x v="4"/>
  </r>
  <r>
    <n v="41677"/>
    <n v="18"/>
    <x v="123"/>
    <x v="1"/>
    <n v="4"/>
    <x v="4"/>
  </r>
  <r>
    <n v="41688"/>
    <n v="18"/>
    <x v="266"/>
    <x v="1"/>
    <n v="4"/>
    <x v="4"/>
  </r>
  <r>
    <n v="41714"/>
    <n v="18"/>
    <x v="267"/>
    <x v="1"/>
    <n v="4"/>
    <x v="4"/>
  </r>
  <r>
    <n v="41737"/>
    <n v="18"/>
    <x v="257"/>
    <x v="1"/>
    <n v="4"/>
    <x v="4"/>
  </r>
  <r>
    <n v="41752"/>
    <n v="18"/>
    <x v="119"/>
    <x v="1"/>
    <n v="4"/>
    <x v="4"/>
  </r>
  <r>
    <n v="41772"/>
    <n v="18"/>
    <x v="212"/>
    <x v="1"/>
    <n v="4"/>
    <x v="4"/>
  </r>
  <r>
    <n v="41774"/>
    <n v="18"/>
    <x v="268"/>
    <x v="1"/>
    <n v="4"/>
    <x v="4"/>
  </r>
  <r>
    <n v="41781"/>
    <n v="18"/>
    <x v="190"/>
    <x v="1"/>
    <n v="4"/>
    <x v="4"/>
  </r>
  <r>
    <n v="41791"/>
    <n v="18"/>
    <x v="269"/>
    <x v="1"/>
    <n v="4"/>
    <x v="4"/>
  </r>
  <r>
    <n v="41806"/>
    <n v="18"/>
    <x v="270"/>
    <x v="1"/>
    <n v="4"/>
    <x v="4"/>
  </r>
  <r>
    <n v="41807"/>
    <n v="18"/>
    <x v="271"/>
    <x v="1"/>
    <n v="4"/>
    <x v="4"/>
  </r>
  <r>
    <n v="41815"/>
    <n v="18"/>
    <x v="270"/>
    <x v="1"/>
    <n v="4"/>
    <x v="4"/>
  </r>
  <r>
    <n v="41619"/>
    <n v="19"/>
    <x v="272"/>
    <x v="0"/>
    <n v="20"/>
    <x v="1"/>
  </r>
  <r>
    <n v="41619"/>
    <n v="19"/>
    <x v="273"/>
    <x v="0"/>
    <n v="20"/>
    <x v="1"/>
  </r>
  <r>
    <n v="41619"/>
    <n v="19"/>
    <x v="274"/>
    <x v="0"/>
    <n v="20"/>
    <x v="1"/>
  </r>
  <r>
    <n v="41643"/>
    <n v="19"/>
    <x v="275"/>
    <x v="0"/>
    <n v="20"/>
    <x v="1"/>
  </r>
  <r>
    <n v="41656"/>
    <n v="19"/>
    <x v="276"/>
    <x v="0"/>
    <n v="20"/>
    <x v="1"/>
  </r>
  <r>
    <n v="41664"/>
    <n v="19"/>
    <x v="165"/>
    <x v="0"/>
    <n v="20"/>
    <x v="1"/>
  </r>
  <r>
    <n v="41664"/>
    <n v="19"/>
    <x v="277"/>
    <x v="0"/>
    <n v="20"/>
    <x v="1"/>
  </r>
  <r>
    <n v="41669"/>
    <n v="19"/>
    <x v="278"/>
    <x v="0"/>
    <n v="20"/>
    <x v="1"/>
  </r>
  <r>
    <n v="41677"/>
    <n v="19"/>
    <x v="272"/>
    <x v="0"/>
    <n v="20"/>
    <x v="1"/>
  </r>
  <r>
    <n v="41677"/>
    <n v="19"/>
    <x v="273"/>
    <x v="0"/>
    <n v="20"/>
    <x v="1"/>
  </r>
  <r>
    <n v="41682"/>
    <n v="19"/>
    <x v="279"/>
    <x v="0"/>
    <n v="20"/>
    <x v="1"/>
  </r>
  <r>
    <n v="41683"/>
    <n v="19"/>
    <x v="273"/>
    <x v="0"/>
    <n v="20"/>
    <x v="1"/>
  </r>
  <r>
    <n v="41683"/>
    <n v="19"/>
    <x v="280"/>
    <x v="0"/>
    <n v="20"/>
    <x v="1"/>
  </r>
  <r>
    <n v="41685"/>
    <n v="19"/>
    <x v="281"/>
    <x v="0"/>
    <n v="20"/>
    <x v="1"/>
  </r>
  <r>
    <n v="41700"/>
    <n v="19"/>
    <x v="279"/>
    <x v="0"/>
    <n v="20"/>
    <x v="1"/>
  </r>
  <r>
    <n v="41702"/>
    <n v="19"/>
    <x v="282"/>
    <x v="0"/>
    <n v="20"/>
    <x v="1"/>
  </r>
  <r>
    <n v="41706"/>
    <n v="19"/>
    <x v="161"/>
    <x v="0"/>
    <n v="20"/>
    <x v="1"/>
  </r>
  <r>
    <n v="41706"/>
    <n v="19"/>
    <x v="283"/>
    <x v="0"/>
    <n v="20"/>
    <x v="1"/>
  </r>
  <r>
    <n v="41709"/>
    <n v="19"/>
    <x v="165"/>
    <x v="0"/>
    <n v="20"/>
    <x v="1"/>
  </r>
  <r>
    <n v="41720"/>
    <n v="19"/>
    <x v="284"/>
    <x v="0"/>
    <n v="20"/>
    <x v="1"/>
  </r>
  <r>
    <n v="41729"/>
    <n v="19"/>
    <x v="283"/>
    <x v="0"/>
    <n v="20"/>
    <x v="1"/>
  </r>
  <r>
    <n v="41730"/>
    <n v="19"/>
    <x v="277"/>
    <x v="0"/>
    <n v="20"/>
    <x v="1"/>
  </r>
  <r>
    <n v="41736"/>
    <n v="19"/>
    <x v="285"/>
    <x v="0"/>
    <n v="20"/>
    <x v="1"/>
  </r>
  <r>
    <n v="41738"/>
    <n v="19"/>
    <x v="286"/>
    <x v="0"/>
    <n v="20"/>
    <x v="1"/>
  </r>
  <r>
    <n v="41740"/>
    <n v="19"/>
    <x v="287"/>
    <x v="0"/>
    <n v="20"/>
    <x v="1"/>
  </r>
  <r>
    <n v="41751"/>
    <n v="19"/>
    <x v="159"/>
    <x v="0"/>
    <n v="20"/>
    <x v="1"/>
  </r>
  <r>
    <n v="41759"/>
    <n v="19"/>
    <x v="277"/>
    <x v="0"/>
    <n v="20"/>
    <x v="1"/>
  </r>
  <r>
    <n v="41764"/>
    <n v="19"/>
    <x v="288"/>
    <x v="0"/>
    <n v="20"/>
    <x v="1"/>
  </r>
  <r>
    <n v="41776"/>
    <n v="19"/>
    <x v="289"/>
    <x v="0"/>
    <n v="20"/>
    <x v="1"/>
  </r>
  <r>
    <n v="41780"/>
    <n v="19"/>
    <x v="290"/>
    <x v="0"/>
    <n v="20"/>
    <x v="1"/>
  </r>
  <r>
    <n v="41784"/>
    <n v="19"/>
    <x v="290"/>
    <x v="0"/>
    <n v="20"/>
    <x v="1"/>
  </r>
  <r>
    <n v="41785"/>
    <n v="19"/>
    <x v="291"/>
    <x v="0"/>
    <n v="20"/>
    <x v="1"/>
  </r>
  <r>
    <n v="41787"/>
    <n v="19"/>
    <x v="292"/>
    <x v="0"/>
    <n v="20"/>
    <x v="1"/>
  </r>
  <r>
    <n v="41798"/>
    <n v="19"/>
    <x v="293"/>
    <x v="0"/>
    <n v="20"/>
    <x v="1"/>
  </r>
  <r>
    <n v="41798"/>
    <n v="19"/>
    <x v="284"/>
    <x v="0"/>
    <n v="20"/>
    <x v="1"/>
  </r>
  <r>
    <n v="41799"/>
    <n v="19"/>
    <x v="294"/>
    <x v="0"/>
    <n v="20"/>
    <x v="1"/>
  </r>
  <r>
    <n v="41806"/>
    <n v="19"/>
    <x v="166"/>
    <x v="0"/>
    <n v="20"/>
    <x v="1"/>
  </r>
  <r>
    <n v="41809"/>
    <n v="19"/>
    <x v="278"/>
    <x v="0"/>
    <n v="20"/>
    <x v="1"/>
  </r>
  <r>
    <n v="41626"/>
    <n v="20"/>
    <x v="250"/>
    <x v="0"/>
    <n v="11"/>
    <x v="3"/>
  </r>
  <r>
    <n v="41630"/>
    <n v="20"/>
    <x v="67"/>
    <x v="0"/>
    <n v="11"/>
    <x v="3"/>
  </r>
  <r>
    <n v="41631"/>
    <n v="20"/>
    <x v="255"/>
    <x v="0"/>
    <n v="11"/>
    <x v="3"/>
  </r>
  <r>
    <n v="41647"/>
    <n v="20"/>
    <x v="295"/>
    <x v="0"/>
    <n v="11"/>
    <x v="3"/>
  </r>
  <r>
    <n v="41653"/>
    <n v="20"/>
    <x v="252"/>
    <x v="0"/>
    <n v="11"/>
    <x v="3"/>
  </r>
  <r>
    <n v="41662"/>
    <n v="20"/>
    <x v="296"/>
    <x v="0"/>
    <n v="11"/>
    <x v="3"/>
  </r>
  <r>
    <n v="41662"/>
    <n v="20"/>
    <x v="213"/>
    <x v="0"/>
    <n v="11"/>
    <x v="3"/>
  </r>
  <r>
    <n v="41676"/>
    <n v="20"/>
    <x v="73"/>
    <x v="0"/>
    <n v="11"/>
    <x v="3"/>
  </r>
  <r>
    <n v="41684"/>
    <n v="20"/>
    <x v="297"/>
    <x v="0"/>
    <n v="11"/>
    <x v="3"/>
  </r>
  <r>
    <n v="41700"/>
    <n v="20"/>
    <x v="66"/>
    <x v="0"/>
    <n v="11"/>
    <x v="3"/>
  </r>
  <r>
    <n v="41733"/>
    <n v="20"/>
    <x v="230"/>
    <x v="0"/>
    <n v="11"/>
    <x v="3"/>
  </r>
  <r>
    <n v="41740"/>
    <n v="20"/>
    <x v="298"/>
    <x v="0"/>
    <n v="11"/>
    <x v="3"/>
  </r>
  <r>
    <n v="41745"/>
    <n v="20"/>
    <x v="45"/>
    <x v="0"/>
    <n v="11"/>
    <x v="3"/>
  </r>
  <r>
    <n v="41752"/>
    <n v="20"/>
    <x v="216"/>
    <x v="0"/>
    <n v="11"/>
    <x v="3"/>
  </r>
  <r>
    <n v="41759"/>
    <n v="20"/>
    <x v="76"/>
    <x v="0"/>
    <n v="11"/>
    <x v="3"/>
  </r>
  <r>
    <n v="41774"/>
    <n v="20"/>
    <x v="253"/>
    <x v="0"/>
    <n v="11"/>
    <x v="3"/>
  </r>
  <r>
    <n v="41776"/>
    <n v="20"/>
    <x v="82"/>
    <x v="0"/>
    <n v="11"/>
    <x v="3"/>
  </r>
  <r>
    <n v="41783"/>
    <n v="20"/>
    <x v="60"/>
    <x v="0"/>
    <n v="11"/>
    <x v="3"/>
  </r>
  <r>
    <n v="41788"/>
    <n v="20"/>
    <x v="88"/>
    <x v="0"/>
    <n v="11"/>
    <x v="3"/>
  </r>
  <r>
    <n v="41804"/>
    <n v="20"/>
    <x v="299"/>
    <x v="0"/>
    <n v="11"/>
    <x v="3"/>
  </r>
  <r>
    <n v="41807"/>
    <n v="20"/>
    <x v="41"/>
    <x v="0"/>
    <n v="11"/>
    <x v="3"/>
  </r>
  <r>
    <n v="41815"/>
    <n v="20"/>
    <x v="90"/>
    <x v="0"/>
    <n v="1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ED3D35-D013-4F2A-AB05-503A321A9A9B}" name="PivotTable2"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D8" firstHeaderRow="0" firstDataRow="1" firstDataCol="1"/>
  <pivotFields count="6">
    <pivotField compact="0" outline="0" showAll="0"/>
    <pivotField compact="0" outline="0" showAll="0"/>
    <pivotField dataField="1" compact="0" outline="0" showAll="0">
      <items count="301">
        <item x="281"/>
        <item x="279"/>
        <item x="275"/>
        <item x="284"/>
        <item x="286"/>
        <item x="290"/>
        <item x="294"/>
        <item x="274"/>
        <item x="285"/>
        <item x="289"/>
        <item x="287"/>
        <item x="283"/>
        <item x="278"/>
        <item x="272"/>
        <item x="291"/>
        <item x="292"/>
        <item x="280"/>
        <item x="293"/>
        <item x="273"/>
        <item x="161"/>
        <item x="165"/>
        <item x="172"/>
        <item x="276"/>
        <item x="170"/>
        <item x="171"/>
        <item x="277"/>
        <item x="282"/>
        <item x="167"/>
        <item x="159"/>
        <item x="288"/>
        <item x="168"/>
        <item x="166"/>
        <item x="156"/>
        <item x="158"/>
        <item x="160"/>
        <item x="222"/>
        <item x="224"/>
        <item x="221"/>
        <item x="25"/>
        <item x="164"/>
        <item x="219"/>
        <item x="162"/>
        <item x="22"/>
        <item x="18"/>
        <item x="27"/>
        <item x="152"/>
        <item x="19"/>
        <item x="10"/>
        <item x="9"/>
        <item x="13"/>
        <item x="154"/>
        <item x="20"/>
        <item x="30"/>
        <item x="169"/>
        <item x="155"/>
        <item x="0"/>
        <item x="223"/>
        <item x="220"/>
        <item x="8"/>
        <item x="153"/>
        <item x="12"/>
        <item x="163"/>
        <item x="15"/>
        <item x="21"/>
        <item x="157"/>
        <item x="2"/>
        <item x="6"/>
        <item x="29"/>
        <item x="7"/>
        <item x="11"/>
        <item x="31"/>
        <item x="5"/>
        <item x="28"/>
        <item x="4"/>
        <item x="17"/>
        <item x="23"/>
        <item x="16"/>
        <item x="1"/>
        <item x="3"/>
        <item x="42"/>
        <item x="32"/>
        <item x="46"/>
        <item x="43"/>
        <item x="38"/>
        <item x="14"/>
        <item x="33"/>
        <item x="24"/>
        <item x="26"/>
        <item x="48"/>
        <item x="54"/>
        <item x="37"/>
        <item x="47"/>
        <item x="44"/>
        <item x="35"/>
        <item x="34"/>
        <item x="71"/>
        <item x="53"/>
        <item x="81"/>
        <item x="217"/>
        <item x="73"/>
        <item x="298"/>
        <item x="39"/>
        <item x="50"/>
        <item x="216"/>
        <item x="65"/>
        <item x="49"/>
        <item x="68"/>
        <item x="250"/>
        <item x="40"/>
        <item x="41"/>
        <item x="36"/>
        <item x="79"/>
        <item x="295"/>
        <item x="296"/>
        <item x="88"/>
        <item x="60"/>
        <item x="52"/>
        <item x="91"/>
        <item x="86"/>
        <item x="251"/>
        <item x="299"/>
        <item x="253"/>
        <item x="214"/>
        <item x="45"/>
        <item x="230"/>
        <item x="75"/>
        <item x="72"/>
        <item x="51"/>
        <item x="64"/>
        <item x="63"/>
        <item x="213"/>
        <item x="82"/>
        <item x="67"/>
        <item x="215"/>
        <item x="69"/>
        <item x="297"/>
        <item x="66"/>
        <item x="85"/>
        <item x="76"/>
        <item x="84"/>
        <item x="78"/>
        <item x="239"/>
        <item x="252"/>
        <item x="59"/>
        <item x="218"/>
        <item x="56"/>
        <item x="249"/>
        <item x="77"/>
        <item x="61"/>
        <item x="70"/>
        <item x="55"/>
        <item x="83"/>
        <item x="255"/>
        <item x="57"/>
        <item x="90"/>
        <item x="226"/>
        <item x="89"/>
        <item x="87"/>
        <item x="58"/>
        <item x="254"/>
        <item x="92"/>
        <item x="232"/>
        <item x="231"/>
        <item x="225"/>
        <item x="80"/>
        <item x="74"/>
        <item x="62"/>
        <item x="236"/>
        <item x="234"/>
        <item x="176"/>
        <item x="240"/>
        <item x="183"/>
        <item x="229"/>
        <item x="227"/>
        <item x="178"/>
        <item x="228"/>
        <item x="233"/>
        <item x="238"/>
        <item x="173"/>
        <item x="210"/>
        <item x="237"/>
        <item x="181"/>
        <item x="180"/>
        <item x="177"/>
        <item x="235"/>
        <item x="207"/>
        <item x="186"/>
        <item x="199"/>
        <item x="185"/>
        <item x="201"/>
        <item x="174"/>
        <item x="204"/>
        <item x="189"/>
        <item x="182"/>
        <item x="209"/>
        <item x="206"/>
        <item x="256"/>
        <item x="198"/>
        <item x="140"/>
        <item x="184"/>
        <item x="109"/>
        <item x="145"/>
        <item x="175"/>
        <item x="208"/>
        <item x="193"/>
        <item x="261"/>
        <item x="95"/>
        <item x="113"/>
        <item x="197"/>
        <item x="205"/>
        <item x="211"/>
        <item x="260"/>
        <item x="265"/>
        <item x="190"/>
        <item x="146"/>
        <item x="151"/>
        <item x="104"/>
        <item x="195"/>
        <item x="248"/>
        <item x="192"/>
        <item x="98"/>
        <item x="135"/>
        <item x="144"/>
        <item x="270"/>
        <item x="96"/>
        <item x="121"/>
        <item x="115"/>
        <item x="179"/>
        <item x="203"/>
        <item x="142"/>
        <item x="137"/>
        <item x="212"/>
        <item x="103"/>
        <item x="124"/>
        <item x="187"/>
        <item x="112"/>
        <item x="134"/>
        <item x="150"/>
        <item x="93"/>
        <item x="259"/>
        <item x="122"/>
        <item x="100"/>
        <item x="200"/>
        <item x="245"/>
        <item x="120"/>
        <item x="191"/>
        <item x="102"/>
        <item x="138"/>
        <item x="244"/>
        <item x="196"/>
        <item x="202"/>
        <item x="136"/>
        <item x="130"/>
        <item x="125"/>
        <item x="241"/>
        <item x="117"/>
        <item x="128"/>
        <item x="242"/>
        <item x="139"/>
        <item x="133"/>
        <item x="246"/>
        <item x="118"/>
        <item x="247"/>
        <item x="110"/>
        <item x="97"/>
        <item x="101"/>
        <item x="114"/>
        <item x="126"/>
        <item x="262"/>
        <item x="243"/>
        <item x="127"/>
        <item x="271"/>
        <item x="94"/>
        <item x="116"/>
        <item x="123"/>
        <item x="194"/>
        <item x="108"/>
        <item x="258"/>
        <item x="132"/>
        <item x="188"/>
        <item x="257"/>
        <item x="119"/>
        <item x="148"/>
        <item x="268"/>
        <item x="147"/>
        <item x="266"/>
        <item x="267"/>
        <item x="111"/>
        <item x="269"/>
        <item x="143"/>
        <item x="105"/>
        <item x="263"/>
        <item x="107"/>
        <item x="264"/>
        <item x="129"/>
        <item x="99"/>
        <item x="141"/>
        <item x="131"/>
        <item x="149"/>
        <item x="106"/>
        <item t="default"/>
      </items>
    </pivotField>
    <pivotField compact="0" outline="0" showAll="0"/>
    <pivotField compact="0" outline="0" showAll="0"/>
    <pivotField axis="axisRow" compact="0" outline="0" showAll="0">
      <items count="6">
        <item h="1" x="1"/>
        <item x="4"/>
        <item x="2"/>
        <item x="0"/>
        <item x="3"/>
        <item t="default"/>
      </items>
    </pivotField>
  </pivotFields>
  <rowFields count="1">
    <field x="5"/>
  </rowFields>
  <rowItems count="5">
    <i>
      <x v="1"/>
    </i>
    <i>
      <x v="2"/>
    </i>
    <i>
      <x v="3"/>
    </i>
    <i>
      <x v="4"/>
    </i>
    <i t="grand">
      <x/>
    </i>
  </rowItems>
  <colFields count="1">
    <field x="-2"/>
  </colFields>
  <colItems count="3">
    <i>
      <x/>
    </i>
    <i i="1">
      <x v="1"/>
    </i>
    <i i="2">
      <x v="2"/>
    </i>
  </colItems>
  <dataFields count="3">
    <dataField name="StdDev of actual order" fld="2" subtotal="stdDev" baseField="5" baseItem="1"/>
    <dataField name="Sum of actual order" fld="2" baseField="0" baseItem="0"/>
    <dataField name="Average of actual order2" fld="2" subtotal="average" baseField="5" baseItem="1"/>
  </dataField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2" xr16:uid="{46A1E62A-8C15-4E28-B55B-7056C571E8FC}" autoFormatId="16" applyNumberFormats="0" applyBorderFormats="0" applyFontFormats="0" applyPatternFormats="0" applyAlignmentFormats="0" applyWidthHeightFormats="0">
  <queryTableRefresh nextId="3">
    <queryTableFields count="2">
      <queryTableField id="1" name="Postcode" tableColumnId="1"/>
      <queryTableField id="2" name="Region"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D0AE746E-9A13-4A22-B892-5FC398441283}" autoFormatId="16" applyNumberFormats="0" applyBorderFormats="0" applyFontFormats="0" applyPatternFormats="0" applyAlignmentFormats="0" applyWidthHeightFormats="0">
  <queryTableRefresh nextId="7" unboundColumnsRight="3">
    <queryTableFields count="6">
      <queryTableField id="1" name="Date" tableColumnId="1"/>
      <queryTableField id="2" name="custno" tableColumnId="2"/>
      <queryTableField id="3" name="actual order" tableColumnId="3"/>
      <queryTableField id="4" dataBound="0" tableColumnId="4"/>
      <queryTableField id="5" dataBound="0" tableColumnId="5"/>
      <queryTableField id="6" dataBound="0"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409F63FB-1A0D-4A25-BD5A-8AF85F42BA0F}" autoFormatId="16" applyNumberFormats="0" applyBorderFormats="0" applyFontFormats="0" applyPatternFormats="0" applyAlignmentFormats="0" applyWidthHeightFormats="0">
  <queryTableRefresh nextId="6" unboundColumnsRight="1">
    <queryTableFields count="5">
      <queryTableField id="1" name="custno" tableColumnId="1"/>
      <queryTableField id="2" name="employment" tableColumnId="2"/>
      <queryTableField id="3" name="age" tableColumnId="3"/>
      <queryTableField id="4" name="postcode" tableColumnId="4"/>
      <queryTableField id="5" dataBound="0"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2D10875-D786-479A-8A19-D4275E118106}" name="Postcodes" displayName="Postcodes" ref="A1:B26" tableType="queryTable" totalsRowShown="0">
  <autoFilter ref="A1:B26" xr:uid="{F2D10875-D786-479A-8A19-D4275E118106}">
    <filterColumn colId="1">
      <customFilters>
        <customFilter operator="notEqual" val=" "/>
      </customFilters>
    </filterColumn>
  </autoFilter>
  <sortState xmlns:xlrd2="http://schemas.microsoft.com/office/spreadsheetml/2017/richdata2" ref="A2:B26">
    <sortCondition ref="A1:A30"/>
  </sortState>
  <tableColumns count="2">
    <tableColumn id="1" xr3:uid="{9E0BEC05-FE7F-45AA-BD12-40903FCCA031}" uniqueName="1" name="Postcode" queryTableFieldId="1"/>
    <tableColumn id="2" xr3:uid="{9F47FE70-D582-4D29-9380-AD6F98A62391}" uniqueName="2" name="Region" queryTableFieldId="2" dataDxf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A08DD6-537A-4A57-930B-5329A59235E6}" name="Value_order" displayName="Value_order" ref="A1:F615" tableType="queryTable" totalsRowShown="0">
  <autoFilter ref="A1:F615" xr:uid="{EBA08DD6-537A-4A57-930B-5329A59235E6}"/>
  <sortState xmlns:xlrd2="http://schemas.microsoft.com/office/spreadsheetml/2017/richdata2" ref="A2:C615">
    <sortCondition ref="B1:B627"/>
  </sortState>
  <tableColumns count="6">
    <tableColumn id="1" xr3:uid="{8C2A02C5-38A0-40A3-A787-C7C5457CD357}" uniqueName="1" name="Date" queryTableFieldId="1" dataDxfId="12"/>
    <tableColumn id="2" xr3:uid="{6DC4C30E-2400-46B3-8850-94342BDF526F}" uniqueName="2" name="custno" queryTableFieldId="2"/>
    <tableColumn id="3" xr3:uid="{17374F39-6AB0-41CE-8BD0-BC7A5A6066A7}" uniqueName="3" name="actual order" queryTableFieldId="3"/>
    <tableColumn id="4" xr3:uid="{5E31A2D4-EB04-4C39-AB74-0169BBE80EDC}" uniqueName="4" name="EMPLOYMENT" queryTableFieldId="4" dataDxfId="11">
      <calculatedColumnFormula>_xlfn.XLOOKUP(B2, 'Cust_inform'!A:A, 'Cust_inform'!E:E, "NOT FOUND")</calculatedColumnFormula>
    </tableColumn>
    <tableColumn id="5" xr3:uid="{33886765-ABFD-40D6-8318-1B76F92B591F}" uniqueName="5" name="POSTCODE" queryTableFieldId="5" dataDxfId="10">
      <calculatedColumnFormula>_xlfn.XLOOKUP(B2, 'Cust_inform'!A:A, 'Cust_inform'!D:D)</calculatedColumnFormula>
    </tableColumn>
    <tableColumn id="6" xr3:uid="{CB8CFBE1-B2AD-42FA-86DF-A9CA41956A40}" uniqueName="6" name="REGION" queryTableFieldId="6" dataDxfId="9">
      <calculatedColumnFormula>_xlfn.XLOOKUP(E2,Postcodes!A:A, Postcodes!B:B, "NOT FOUND")</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1EC0B5-CE63-44E4-A9C1-31DC0EA77667}" name="PIVOT_STATS" displayName="PIVOT_STATS" ref="G12:G13" insertRow="1" totalsRowShown="0">
  <autoFilter ref="G12:G13" xr:uid="{BD1EC0B5-CE63-44E4-A9C1-31DC0EA77667}"/>
  <tableColumns count="1">
    <tableColumn id="1" xr3:uid="{DD1E436C-2211-47D3-A0A5-19115C973409}" name="Column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89797FA-52D8-4509-B8A7-529B5A6CB7E0}" name="MASTER_TABLE" displayName="MASTER_TABLE" ref="A1:H615" totalsRowShown="0">
  <autoFilter ref="A1:H615" xr:uid="{389797FA-52D8-4509-B8A7-529B5A6CB7E0}">
    <filterColumn colId="2">
      <customFilters>
        <customFilter operator="notEqual" val=" "/>
      </customFilters>
    </filterColumn>
  </autoFilter>
  <tableColumns count="8">
    <tableColumn id="1" xr3:uid="{B7FC1077-239E-41F7-BC11-5FB9F76F6677}" name="Date" dataDxfId="8"/>
    <tableColumn id="2" xr3:uid="{AA9403F0-27BF-4966-BBA1-333CA40AD4F2}" name="custno"/>
    <tableColumn id="3" xr3:uid="{0B551939-F15B-48A5-9012-D0E8417B3CCB}" name="actual order" dataDxfId="7"/>
    <tableColumn id="4" xr3:uid="{54EDD69E-F097-41CB-88C4-B96D04870B7B}" name="EMPLOYMENT"/>
    <tableColumn id="5" xr3:uid="{2D50ED1A-7E6B-4594-8DD8-0E9B8231DAD0}" name="POSTCODE"/>
    <tableColumn id="6" xr3:uid="{F3A66F0C-57C3-44EF-947E-825582D1F84E}" name="REGION"/>
    <tableColumn id="7" xr3:uid="{C70C3C51-33BD-47F2-8598-087500B3F08F}" name="EMPLOYED_ORDER" dataDxfId="6"/>
    <tableColumn id="8" xr3:uid="{E9F04762-16D5-4D0A-9875-DABC8765CCCE}" name="UNEMPLYED_ORDER" dataDxfId="5"/>
  </tableColumns>
  <tableStyleInfo name="TableStyleLight1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7BE68B-2A63-4AA9-9BCF-A6423B8B3D8F}" name="Cust_inform" displayName="Cust_inform" ref="A1:E22" tableType="queryTable" totalsRowShown="0">
  <autoFilter ref="A1:E22" xr:uid="{817BE68B-2A63-4AA9-9BCF-A6423B8B3D8F}"/>
  <tableColumns count="5">
    <tableColumn id="1" xr3:uid="{45CAF07E-F566-4B9C-8B6F-C32024BB4D15}" uniqueName="1" name="custno" queryTableFieldId="1"/>
    <tableColumn id="2" xr3:uid="{70A6D3E2-E054-4B9D-A274-04A1E576C047}" uniqueName="2" name="employment" queryTableFieldId="2"/>
    <tableColumn id="3" xr3:uid="{E55E8FA2-6C29-4F4F-83B6-ACAB024F1116}" uniqueName="3" name="age" queryTableFieldId="3"/>
    <tableColumn id="4" xr3:uid="{952AB151-017D-43DF-B536-3EFF35D872F6}" uniqueName="4" name="postcode" queryTableFieldId="4"/>
    <tableColumn id="5" xr3:uid="{F1D4119B-45BB-476F-86B3-5CBB4590B734}" uniqueName="5" name="employment2" queryTableFieldId="5" dataDxfId="0">
      <calculatedColumnFormula>IF(B2=1, "EMPLOYED",  "UNEMPLOYED")</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186F3-3319-4506-9B97-1121E95B32B7}">
  <sheetPr codeName="Sheet1"/>
  <dimension ref="A1:B26"/>
  <sheetViews>
    <sheetView workbookViewId="0">
      <selection activeCell="A2" sqref="A2:B26"/>
    </sheetView>
  </sheetViews>
  <sheetFormatPr defaultRowHeight="15" x14ac:dyDescent="0.25"/>
  <cols>
    <col min="1" max="1" width="11.28515625" bestFit="1" customWidth="1"/>
    <col min="2" max="2" width="9.28515625" bestFit="1" customWidth="1"/>
  </cols>
  <sheetData>
    <row r="1" spans="1:2" x14ac:dyDescent="0.25">
      <c r="A1" t="s">
        <v>0</v>
      </c>
      <c r="B1" t="s">
        <v>1</v>
      </c>
    </row>
    <row r="2" spans="1:2" x14ac:dyDescent="0.25">
      <c r="A2">
        <v>1</v>
      </c>
      <c r="B2" t="s">
        <v>2</v>
      </c>
    </row>
    <row r="3" spans="1:2" x14ac:dyDescent="0.25">
      <c r="A3">
        <v>2</v>
      </c>
      <c r="B3" t="s">
        <v>2</v>
      </c>
    </row>
    <row r="4" spans="1:2" x14ac:dyDescent="0.25">
      <c r="A4">
        <v>3</v>
      </c>
      <c r="B4" t="s">
        <v>2</v>
      </c>
    </row>
    <row r="5" spans="1:2" x14ac:dyDescent="0.25">
      <c r="A5">
        <v>4</v>
      </c>
      <c r="B5" t="s">
        <v>2</v>
      </c>
    </row>
    <row r="6" spans="1:2" x14ac:dyDescent="0.25">
      <c r="A6">
        <v>5</v>
      </c>
      <c r="B6" t="s">
        <v>2</v>
      </c>
    </row>
    <row r="7" spans="1:2" x14ac:dyDescent="0.25">
      <c r="A7">
        <v>6</v>
      </c>
      <c r="B7" t="s">
        <v>2</v>
      </c>
    </row>
    <row r="8" spans="1:2" x14ac:dyDescent="0.25">
      <c r="A8">
        <v>7</v>
      </c>
      <c r="B8" t="s">
        <v>3</v>
      </c>
    </row>
    <row r="9" spans="1:2" x14ac:dyDescent="0.25">
      <c r="A9">
        <v>8</v>
      </c>
      <c r="B9" t="s">
        <v>3</v>
      </c>
    </row>
    <row r="10" spans="1:2" x14ac:dyDescent="0.25">
      <c r="A10">
        <v>9</v>
      </c>
      <c r="B10" t="s">
        <v>3</v>
      </c>
    </row>
    <row r="11" spans="1:2" x14ac:dyDescent="0.25">
      <c r="A11">
        <v>10</v>
      </c>
      <c r="B11" t="s">
        <v>3</v>
      </c>
    </row>
    <row r="12" spans="1:2" x14ac:dyDescent="0.25">
      <c r="A12">
        <v>11</v>
      </c>
      <c r="B12" t="s">
        <v>3</v>
      </c>
    </row>
    <row r="13" spans="1:2" x14ac:dyDescent="0.25">
      <c r="A13">
        <v>12</v>
      </c>
      <c r="B13" t="s">
        <v>3</v>
      </c>
    </row>
    <row r="14" spans="1:2" x14ac:dyDescent="0.25">
      <c r="A14">
        <v>13</v>
      </c>
      <c r="B14" t="s">
        <v>3</v>
      </c>
    </row>
    <row r="15" spans="1:2" x14ac:dyDescent="0.25">
      <c r="A15">
        <v>14</v>
      </c>
      <c r="B15" t="s">
        <v>4</v>
      </c>
    </row>
    <row r="16" spans="1:2" x14ac:dyDescent="0.25">
      <c r="A16">
        <v>15</v>
      </c>
      <c r="B16" t="s">
        <v>4</v>
      </c>
    </row>
    <row r="17" spans="1:2" x14ac:dyDescent="0.25">
      <c r="A17">
        <v>16</v>
      </c>
      <c r="B17" t="s">
        <v>4</v>
      </c>
    </row>
    <row r="18" spans="1:2" x14ac:dyDescent="0.25">
      <c r="A18">
        <v>17</v>
      </c>
      <c r="B18" t="s">
        <v>4</v>
      </c>
    </row>
    <row r="19" spans="1:2" x14ac:dyDescent="0.25">
      <c r="A19">
        <v>18</v>
      </c>
      <c r="B19" t="s">
        <v>4</v>
      </c>
    </row>
    <row r="20" spans="1:2" x14ac:dyDescent="0.25">
      <c r="A20">
        <v>19</v>
      </c>
      <c r="B20" t="s">
        <v>4</v>
      </c>
    </row>
    <row r="21" spans="1:2" hidden="1" x14ac:dyDescent="0.25">
      <c r="A21">
        <v>20</v>
      </c>
      <c r="B21" t="s">
        <v>5</v>
      </c>
    </row>
    <row r="22" spans="1:2" x14ac:dyDescent="0.25">
      <c r="A22">
        <v>21</v>
      </c>
      <c r="B22" t="s">
        <v>6</v>
      </c>
    </row>
    <row r="23" spans="1:2" x14ac:dyDescent="0.25">
      <c r="A23">
        <v>22</v>
      </c>
      <c r="B23" t="s">
        <v>6</v>
      </c>
    </row>
    <row r="24" spans="1:2" x14ac:dyDescent="0.25">
      <c r="A24">
        <v>23</v>
      </c>
      <c r="B24" t="s">
        <v>6</v>
      </c>
    </row>
    <row r="25" spans="1:2" x14ac:dyDescent="0.25">
      <c r="A25">
        <v>24</v>
      </c>
      <c r="B25" t="s">
        <v>6</v>
      </c>
    </row>
    <row r="26" spans="1:2" x14ac:dyDescent="0.25">
      <c r="A26">
        <v>25</v>
      </c>
      <c r="B26" t="s">
        <v>6</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71893-8605-41E0-B059-8D28F87D1A1E}">
  <sheetPr codeName="Sheet2"/>
  <dimension ref="A1:F615"/>
  <sheetViews>
    <sheetView workbookViewId="0">
      <selection activeCell="B2" sqref="B2"/>
    </sheetView>
  </sheetViews>
  <sheetFormatPr defaultRowHeight="15" x14ac:dyDescent="0.25"/>
  <cols>
    <col min="1" max="1" width="12.42578125" customWidth="1"/>
    <col min="2" max="2" width="8.85546875" bestFit="1" customWidth="1"/>
    <col min="3" max="3" width="13.42578125" bestFit="1" customWidth="1"/>
  </cols>
  <sheetData>
    <row r="1" spans="1:6" x14ac:dyDescent="0.25">
      <c r="A1" t="s">
        <v>7</v>
      </c>
      <c r="B1" t="s">
        <v>8</v>
      </c>
      <c r="C1" t="s">
        <v>9</v>
      </c>
      <c r="D1" t="s">
        <v>10</v>
      </c>
      <c r="E1" t="s">
        <v>11</v>
      </c>
      <c r="F1" t="s">
        <v>12</v>
      </c>
    </row>
    <row r="2" spans="1:6" x14ac:dyDescent="0.25">
      <c r="A2" s="1">
        <v>41618</v>
      </c>
      <c r="B2">
        <v>1</v>
      </c>
      <c r="C2">
        <v>213</v>
      </c>
      <c r="D2" t="str">
        <f>_xlfn.XLOOKUP(B2, 'Cust_inform'!A:A, 'Cust_inform'!E:E, "NOT FOUND")</f>
        <v>EMPLOYED</v>
      </c>
      <c r="E2">
        <f>_xlfn.XLOOKUP(B2, 'Cust_inform'!A:A, 'Cust_inform'!D:D)</f>
        <v>18</v>
      </c>
      <c r="F2" t="str">
        <f>_xlfn.XLOOKUP(E2,Postcodes!A:A, Postcodes!B:B, "NOT FOUND")</f>
        <v>S</v>
      </c>
    </row>
    <row r="3" spans="1:6" x14ac:dyDescent="0.25">
      <c r="A3" s="1">
        <v>41623</v>
      </c>
      <c r="B3">
        <v>1</v>
      </c>
      <c r="C3">
        <v>241</v>
      </c>
      <c r="D3" t="str">
        <f>_xlfn.XLOOKUP(B3, 'Cust_inform'!A:A, 'Cust_inform'!E:E, "NOT FOUND")</f>
        <v>EMPLOYED</v>
      </c>
      <c r="E3">
        <f>_xlfn.XLOOKUP(B3, 'Cust_inform'!A:A, 'Cust_inform'!D:D)</f>
        <v>18</v>
      </c>
      <c r="F3" s="2" t="str">
        <f>_xlfn.XLOOKUP(E3,Postcodes!A:A, Postcodes!B:B, "NOT FOUND")</f>
        <v>S</v>
      </c>
    </row>
    <row r="4" spans="1:6" x14ac:dyDescent="0.25">
      <c r="A4" s="1">
        <v>41631</v>
      </c>
      <c r="B4">
        <v>1</v>
      </c>
      <c r="C4">
        <v>213</v>
      </c>
      <c r="D4" t="str">
        <f>_xlfn.XLOOKUP(B4, 'Cust_inform'!A:A, 'Cust_inform'!E:E, "NOT FOUND")</f>
        <v>EMPLOYED</v>
      </c>
      <c r="E4">
        <f>_xlfn.XLOOKUP(B4, 'Cust_inform'!A:A, 'Cust_inform'!D:D)</f>
        <v>18</v>
      </c>
      <c r="F4" t="str">
        <f>_xlfn.XLOOKUP(E4,Postcodes!A:A, Postcodes!B:B, "NOT FOUND")</f>
        <v>S</v>
      </c>
    </row>
    <row r="5" spans="1:6" x14ac:dyDescent="0.25">
      <c r="A5" s="1">
        <v>41632</v>
      </c>
      <c r="B5">
        <v>1</v>
      </c>
      <c r="C5">
        <v>224</v>
      </c>
      <c r="D5" t="str">
        <f>_xlfn.XLOOKUP(B5, 'Cust_inform'!A:A, 'Cust_inform'!E:E, "NOT FOUND")</f>
        <v>EMPLOYED</v>
      </c>
      <c r="E5">
        <f>_xlfn.XLOOKUP(B5, 'Cust_inform'!A:A, 'Cust_inform'!D:D)</f>
        <v>18</v>
      </c>
      <c r="F5" t="str">
        <f>_xlfn.XLOOKUP(E5,Postcodes!A:A, Postcodes!B:B, "NOT FOUND")</f>
        <v>S</v>
      </c>
    </row>
    <row r="6" spans="1:6" x14ac:dyDescent="0.25">
      <c r="A6" s="1">
        <v>41646</v>
      </c>
      <c r="B6">
        <v>1</v>
      </c>
      <c r="C6">
        <v>242</v>
      </c>
      <c r="D6" t="str">
        <f>_xlfn.XLOOKUP(B6, 'Cust_inform'!A:A, 'Cust_inform'!E:E, "NOT FOUND")</f>
        <v>EMPLOYED</v>
      </c>
      <c r="E6">
        <f>_xlfn.XLOOKUP(B6, 'Cust_inform'!A:A, 'Cust_inform'!D:D)</f>
        <v>18</v>
      </c>
      <c r="F6" t="str">
        <f>_xlfn.XLOOKUP(E6,Postcodes!A:A, Postcodes!B:B, "NOT FOUND")</f>
        <v>S</v>
      </c>
    </row>
    <row r="7" spans="1:6" x14ac:dyDescent="0.25">
      <c r="A7" s="1">
        <v>41647</v>
      </c>
      <c r="B7">
        <v>1</v>
      </c>
      <c r="C7">
        <v>237</v>
      </c>
      <c r="D7" t="str">
        <f>_xlfn.XLOOKUP(B7, 'Cust_inform'!A:A, 'Cust_inform'!E:E, "NOT FOUND")</f>
        <v>EMPLOYED</v>
      </c>
      <c r="E7">
        <f>_xlfn.XLOOKUP(B7, 'Cust_inform'!A:A, 'Cust_inform'!D:D)</f>
        <v>18</v>
      </c>
      <c r="F7" t="str">
        <f>_xlfn.XLOOKUP(E7,Postcodes!A:A, Postcodes!B:B, "NOT FOUND")</f>
        <v>S</v>
      </c>
    </row>
    <row r="8" spans="1:6" x14ac:dyDescent="0.25">
      <c r="A8" s="1">
        <v>41657</v>
      </c>
      <c r="B8">
        <v>1</v>
      </c>
      <c r="C8">
        <v>232</v>
      </c>
      <c r="D8" t="str">
        <f>_xlfn.XLOOKUP(B8, 'Cust_inform'!A:A, 'Cust_inform'!E:E, "NOT FOUND")</f>
        <v>EMPLOYED</v>
      </c>
      <c r="E8">
        <f>_xlfn.XLOOKUP(B8, 'Cust_inform'!A:A, 'Cust_inform'!D:D)</f>
        <v>18</v>
      </c>
      <c r="F8" t="str">
        <f>_xlfn.XLOOKUP(E8,Postcodes!A:A, Postcodes!B:B, "NOT FOUND")</f>
        <v>S</v>
      </c>
    </row>
    <row r="9" spans="1:6" x14ac:dyDescent="0.25">
      <c r="A9" s="1">
        <v>41658</v>
      </c>
      <c r="B9">
        <v>1</v>
      </c>
      <c r="C9">
        <v>225</v>
      </c>
      <c r="D9" t="str">
        <f>_xlfn.XLOOKUP(B9, 'Cust_inform'!A:A, 'Cust_inform'!E:E, "NOT FOUND")</f>
        <v>EMPLOYED</v>
      </c>
      <c r="E9">
        <f>_xlfn.XLOOKUP(B9, 'Cust_inform'!A:A, 'Cust_inform'!D:D)</f>
        <v>18</v>
      </c>
      <c r="F9" t="str">
        <f>_xlfn.XLOOKUP(E9,Postcodes!A:A, Postcodes!B:B, "NOT FOUND")</f>
        <v>S</v>
      </c>
    </row>
    <row r="10" spans="1:6" x14ac:dyDescent="0.25">
      <c r="A10" s="1">
        <v>41658</v>
      </c>
      <c r="B10">
        <v>1</v>
      </c>
      <c r="C10">
        <v>227</v>
      </c>
      <c r="D10" t="str">
        <f>_xlfn.XLOOKUP(B10, 'Cust_inform'!A:A, 'Cust_inform'!E:E, "NOT FOUND")</f>
        <v>EMPLOYED</v>
      </c>
      <c r="E10">
        <f>_xlfn.XLOOKUP(B10, 'Cust_inform'!A:A, 'Cust_inform'!D:D)</f>
        <v>18</v>
      </c>
      <c r="F10" t="str">
        <f>_xlfn.XLOOKUP(E10,Postcodes!A:A, Postcodes!B:B, "NOT FOUND")</f>
        <v>S</v>
      </c>
    </row>
    <row r="11" spans="1:6" x14ac:dyDescent="0.25">
      <c r="A11" s="1">
        <v>41660</v>
      </c>
      <c r="B11">
        <v>1</v>
      </c>
      <c r="C11">
        <v>217</v>
      </c>
      <c r="D11" t="str">
        <f>_xlfn.XLOOKUP(B11, 'Cust_inform'!A:A, 'Cust_inform'!E:E, "NOT FOUND")</f>
        <v>EMPLOYED</v>
      </c>
      <c r="E11">
        <f>_xlfn.XLOOKUP(B11, 'Cust_inform'!A:A, 'Cust_inform'!D:D)</f>
        <v>18</v>
      </c>
      <c r="F11" t="str">
        <f>_xlfn.XLOOKUP(E11,Postcodes!A:A, Postcodes!B:B, "NOT FOUND")</f>
        <v>S</v>
      </c>
    </row>
    <row r="12" spans="1:6" x14ac:dyDescent="0.25">
      <c r="A12" s="1">
        <v>41662</v>
      </c>
      <c r="B12">
        <v>1</v>
      </c>
      <c r="C12">
        <v>205</v>
      </c>
      <c r="D12" t="str">
        <f>_xlfn.XLOOKUP(B12, 'Cust_inform'!A:A, 'Cust_inform'!E:E, "NOT FOUND")</f>
        <v>EMPLOYED</v>
      </c>
      <c r="E12">
        <f>_xlfn.XLOOKUP(B12, 'Cust_inform'!A:A, 'Cust_inform'!D:D)</f>
        <v>18</v>
      </c>
      <c r="F12" t="str">
        <f>_xlfn.XLOOKUP(E12,Postcodes!A:A, Postcodes!B:B, "NOT FOUND")</f>
        <v>S</v>
      </c>
    </row>
    <row r="13" spans="1:6" x14ac:dyDescent="0.25">
      <c r="A13" s="1">
        <v>41670</v>
      </c>
      <c r="B13">
        <v>1</v>
      </c>
      <c r="C13">
        <v>204</v>
      </c>
      <c r="D13" t="str">
        <f>_xlfn.XLOOKUP(B13, 'Cust_inform'!A:A, 'Cust_inform'!E:E, "NOT FOUND")</f>
        <v>EMPLOYED</v>
      </c>
      <c r="E13">
        <f>_xlfn.XLOOKUP(B13, 'Cust_inform'!A:A, 'Cust_inform'!D:D)</f>
        <v>18</v>
      </c>
      <c r="F13" t="str">
        <f>_xlfn.XLOOKUP(E13,Postcodes!A:A, Postcodes!B:B, "NOT FOUND")</f>
        <v>S</v>
      </c>
    </row>
    <row r="14" spans="1:6" x14ac:dyDescent="0.25">
      <c r="A14" s="1">
        <v>41672</v>
      </c>
      <c r="B14">
        <v>1</v>
      </c>
      <c r="C14">
        <v>228</v>
      </c>
      <c r="D14" t="str">
        <f>_xlfn.XLOOKUP(B14, 'Cust_inform'!A:A, 'Cust_inform'!E:E, "NOT FOUND")</f>
        <v>EMPLOYED</v>
      </c>
      <c r="E14">
        <f>_xlfn.XLOOKUP(B14, 'Cust_inform'!A:A, 'Cust_inform'!D:D)</f>
        <v>18</v>
      </c>
      <c r="F14" t="str">
        <f>_xlfn.XLOOKUP(E14,Postcodes!A:A, Postcodes!B:B, "NOT FOUND")</f>
        <v>S</v>
      </c>
    </row>
    <row r="15" spans="1:6" x14ac:dyDescent="0.25">
      <c r="A15" s="1">
        <v>41677</v>
      </c>
      <c r="B15">
        <v>1</v>
      </c>
      <c r="C15">
        <v>219</v>
      </c>
      <c r="D15" t="str">
        <f>_xlfn.XLOOKUP(B15, 'Cust_inform'!A:A, 'Cust_inform'!E:E, "NOT FOUND")</f>
        <v>EMPLOYED</v>
      </c>
      <c r="E15">
        <f>_xlfn.XLOOKUP(B15, 'Cust_inform'!A:A, 'Cust_inform'!D:D)</f>
        <v>18</v>
      </c>
      <c r="F15" t="str">
        <f>_xlfn.XLOOKUP(E15,Postcodes!A:A, Postcodes!B:B, "NOT FOUND")</f>
        <v>S</v>
      </c>
    </row>
    <row r="16" spans="1:6" x14ac:dyDescent="0.25">
      <c r="A16" s="1">
        <v>41681</v>
      </c>
      <c r="B16">
        <v>1</v>
      </c>
      <c r="C16">
        <v>206</v>
      </c>
      <c r="D16" t="str">
        <f>_xlfn.XLOOKUP(B16, 'Cust_inform'!A:A, 'Cust_inform'!E:E, "NOT FOUND")</f>
        <v>EMPLOYED</v>
      </c>
      <c r="E16">
        <f>_xlfn.XLOOKUP(B16, 'Cust_inform'!A:A, 'Cust_inform'!D:D)</f>
        <v>18</v>
      </c>
      <c r="F16" t="str">
        <f>_xlfn.XLOOKUP(E16,Postcodes!A:A, Postcodes!B:B, "NOT FOUND")</f>
        <v>S</v>
      </c>
    </row>
    <row r="17" spans="1:6" x14ac:dyDescent="0.25">
      <c r="A17" s="1">
        <v>41688</v>
      </c>
      <c r="B17">
        <v>1</v>
      </c>
      <c r="C17">
        <v>253</v>
      </c>
      <c r="D17" t="str">
        <f>_xlfn.XLOOKUP(B17, 'Cust_inform'!A:A, 'Cust_inform'!E:E, "NOT FOUND")</f>
        <v>EMPLOYED</v>
      </c>
      <c r="E17">
        <f>_xlfn.XLOOKUP(B17, 'Cust_inform'!A:A, 'Cust_inform'!D:D)</f>
        <v>18</v>
      </c>
      <c r="F17" t="str">
        <f>_xlfn.XLOOKUP(E17,Postcodes!A:A, Postcodes!B:B, "NOT FOUND")</f>
        <v>S</v>
      </c>
    </row>
    <row r="18" spans="1:6" x14ac:dyDescent="0.25">
      <c r="A18" s="1">
        <v>41688</v>
      </c>
      <c r="B18">
        <v>1</v>
      </c>
      <c r="C18">
        <v>221</v>
      </c>
      <c r="D18" t="str">
        <f>_xlfn.XLOOKUP(B18, 'Cust_inform'!A:A, 'Cust_inform'!E:E, "NOT FOUND")</f>
        <v>EMPLOYED</v>
      </c>
      <c r="E18">
        <f>_xlfn.XLOOKUP(B18, 'Cust_inform'!A:A, 'Cust_inform'!D:D)</f>
        <v>18</v>
      </c>
      <c r="F18" t="str">
        <f>_xlfn.XLOOKUP(E18,Postcodes!A:A, Postcodes!B:B, "NOT FOUND")</f>
        <v>S</v>
      </c>
    </row>
    <row r="19" spans="1:6" x14ac:dyDescent="0.25">
      <c r="A19" s="1">
        <v>41690</v>
      </c>
      <c r="B19">
        <v>1</v>
      </c>
      <c r="C19">
        <v>240</v>
      </c>
      <c r="D19" t="str">
        <f>_xlfn.XLOOKUP(B19, 'Cust_inform'!A:A, 'Cust_inform'!E:E, "NOT FOUND")</f>
        <v>EMPLOYED</v>
      </c>
      <c r="E19">
        <f>_xlfn.XLOOKUP(B19, 'Cust_inform'!A:A, 'Cust_inform'!D:D)</f>
        <v>18</v>
      </c>
      <c r="F19" t="str">
        <f>_xlfn.XLOOKUP(E19,Postcodes!A:A, Postcodes!B:B, "NOT FOUND")</f>
        <v>S</v>
      </c>
    </row>
    <row r="20" spans="1:6" x14ac:dyDescent="0.25">
      <c r="A20" s="1">
        <v>41698</v>
      </c>
      <c r="B20">
        <v>1</v>
      </c>
      <c r="C20">
        <v>232</v>
      </c>
      <c r="D20" t="str">
        <f>_xlfn.XLOOKUP(B20, 'Cust_inform'!A:A, 'Cust_inform'!E:E, "NOT FOUND")</f>
        <v>EMPLOYED</v>
      </c>
      <c r="E20">
        <f>_xlfn.XLOOKUP(B20, 'Cust_inform'!A:A, 'Cust_inform'!D:D)</f>
        <v>18</v>
      </c>
      <c r="F20" t="str">
        <f>_xlfn.XLOOKUP(E20,Postcodes!A:A, Postcodes!B:B, "NOT FOUND")</f>
        <v>S</v>
      </c>
    </row>
    <row r="21" spans="1:6" x14ac:dyDescent="0.25">
      <c r="A21" s="1">
        <v>41701</v>
      </c>
      <c r="B21">
        <v>1</v>
      </c>
      <c r="C21">
        <v>227</v>
      </c>
      <c r="D21" t="str">
        <f>_xlfn.XLOOKUP(B21, 'Cust_inform'!A:A, 'Cust_inform'!E:E, "NOT FOUND")</f>
        <v>EMPLOYED</v>
      </c>
      <c r="E21">
        <f>_xlfn.XLOOKUP(B21, 'Cust_inform'!A:A, 'Cust_inform'!D:D)</f>
        <v>18</v>
      </c>
      <c r="F21" t="str">
        <f>_xlfn.XLOOKUP(E21,Postcodes!A:A, Postcodes!B:B, "NOT FOUND")</f>
        <v>S</v>
      </c>
    </row>
    <row r="22" spans="1:6" x14ac:dyDescent="0.25">
      <c r="A22" s="1">
        <v>41701</v>
      </c>
      <c r="B22">
        <v>1</v>
      </c>
      <c r="C22">
        <v>238</v>
      </c>
      <c r="D22" t="str">
        <f>_xlfn.XLOOKUP(B22, 'Cust_inform'!A:A, 'Cust_inform'!E:E, "NOT FOUND")</f>
        <v>EMPLOYED</v>
      </c>
      <c r="E22">
        <f>_xlfn.XLOOKUP(B22, 'Cust_inform'!A:A, 'Cust_inform'!D:D)</f>
        <v>18</v>
      </c>
      <c r="F22" t="str">
        <f>_xlfn.XLOOKUP(E22,Postcodes!A:A, Postcodes!B:B, "NOT FOUND")</f>
        <v>S</v>
      </c>
    </row>
    <row r="23" spans="1:6" x14ac:dyDescent="0.25">
      <c r="A23" s="1">
        <v>41703</v>
      </c>
      <c r="B23">
        <v>1</v>
      </c>
      <c r="C23">
        <v>200</v>
      </c>
      <c r="D23" t="str">
        <f>_xlfn.XLOOKUP(B23, 'Cust_inform'!A:A, 'Cust_inform'!E:E, "NOT FOUND")</f>
        <v>EMPLOYED</v>
      </c>
      <c r="E23">
        <f>_xlfn.XLOOKUP(B23, 'Cust_inform'!A:A, 'Cust_inform'!D:D)</f>
        <v>18</v>
      </c>
      <c r="F23" t="str">
        <f>_xlfn.XLOOKUP(E23,Postcodes!A:A, Postcodes!B:B, "NOT FOUND")</f>
        <v>S</v>
      </c>
    </row>
    <row r="24" spans="1:6" x14ac:dyDescent="0.25">
      <c r="A24" s="1">
        <v>41707</v>
      </c>
      <c r="B24">
        <v>1</v>
      </c>
      <c r="C24">
        <v>203</v>
      </c>
      <c r="D24" t="str">
        <f>_xlfn.XLOOKUP(B24, 'Cust_inform'!A:A, 'Cust_inform'!E:E, "NOT FOUND")</f>
        <v>EMPLOYED</v>
      </c>
      <c r="E24">
        <f>_xlfn.XLOOKUP(B24, 'Cust_inform'!A:A, 'Cust_inform'!D:D)</f>
        <v>18</v>
      </c>
      <c r="F24" t="str">
        <f>_xlfn.XLOOKUP(E24,Postcodes!A:A, Postcodes!B:B, "NOT FOUND")</f>
        <v>S</v>
      </c>
    </row>
    <row r="25" spans="1:6" x14ac:dyDescent="0.25">
      <c r="A25" s="1">
        <v>41714</v>
      </c>
      <c r="B25">
        <v>1</v>
      </c>
      <c r="C25">
        <v>208</v>
      </c>
      <c r="D25" t="str">
        <f>_xlfn.XLOOKUP(B25, 'Cust_inform'!A:A, 'Cust_inform'!E:E, "NOT FOUND")</f>
        <v>EMPLOYED</v>
      </c>
      <c r="E25">
        <f>_xlfn.XLOOKUP(B25, 'Cust_inform'!A:A, 'Cust_inform'!D:D)</f>
        <v>18</v>
      </c>
      <c r="F25" t="str">
        <f>_xlfn.XLOOKUP(E25,Postcodes!A:A, Postcodes!B:B, "NOT FOUND")</f>
        <v>S</v>
      </c>
    </row>
    <row r="26" spans="1:6" x14ac:dyDescent="0.25">
      <c r="A26" s="1">
        <v>41716</v>
      </c>
      <c r="B26">
        <v>1</v>
      </c>
      <c r="C26">
        <v>222</v>
      </c>
      <c r="D26" t="str">
        <f>_xlfn.XLOOKUP(B26, 'Cust_inform'!A:A, 'Cust_inform'!E:E, "NOT FOUND")</f>
        <v>EMPLOYED</v>
      </c>
      <c r="E26">
        <f>_xlfn.XLOOKUP(B26, 'Cust_inform'!A:A, 'Cust_inform'!D:D)</f>
        <v>18</v>
      </c>
      <c r="F26" t="str">
        <f>_xlfn.XLOOKUP(E26,Postcodes!A:A, Postcodes!B:B, "NOT FOUND")</f>
        <v>S</v>
      </c>
    </row>
    <row r="27" spans="1:6" x14ac:dyDescent="0.25">
      <c r="A27" s="1">
        <v>41716</v>
      </c>
      <c r="B27">
        <v>1</v>
      </c>
      <c r="C27">
        <v>208</v>
      </c>
      <c r="D27" t="str">
        <f>_xlfn.XLOOKUP(B27, 'Cust_inform'!A:A, 'Cust_inform'!E:E, "NOT FOUND")</f>
        <v>EMPLOYED</v>
      </c>
      <c r="E27">
        <f>_xlfn.XLOOKUP(B27, 'Cust_inform'!A:A, 'Cust_inform'!D:D)</f>
        <v>18</v>
      </c>
      <c r="F27" t="str">
        <f>_xlfn.XLOOKUP(E27,Postcodes!A:A, Postcodes!B:B, "NOT FOUND")</f>
        <v>S</v>
      </c>
    </row>
    <row r="28" spans="1:6" x14ac:dyDescent="0.25">
      <c r="A28" s="1">
        <v>41720</v>
      </c>
      <c r="B28">
        <v>1</v>
      </c>
      <c r="C28">
        <v>199</v>
      </c>
      <c r="D28" t="str">
        <f>_xlfn.XLOOKUP(B28, 'Cust_inform'!A:A, 'Cust_inform'!E:E, "NOT FOUND")</f>
        <v>EMPLOYED</v>
      </c>
      <c r="E28">
        <f>_xlfn.XLOOKUP(B28, 'Cust_inform'!A:A, 'Cust_inform'!D:D)</f>
        <v>18</v>
      </c>
      <c r="F28" t="str">
        <f>_xlfn.XLOOKUP(E28,Postcodes!A:A, Postcodes!B:B, "NOT FOUND")</f>
        <v>S</v>
      </c>
    </row>
    <row r="29" spans="1:6" x14ac:dyDescent="0.25">
      <c r="A29" s="1">
        <v>41722</v>
      </c>
      <c r="B29">
        <v>1</v>
      </c>
      <c r="C29">
        <v>224</v>
      </c>
      <c r="D29" t="str">
        <f>_xlfn.XLOOKUP(B29, 'Cust_inform'!A:A, 'Cust_inform'!E:E, "NOT FOUND")</f>
        <v>EMPLOYED</v>
      </c>
      <c r="E29">
        <f>_xlfn.XLOOKUP(B29, 'Cust_inform'!A:A, 'Cust_inform'!D:D)</f>
        <v>18</v>
      </c>
      <c r="F29" t="str">
        <f>_xlfn.XLOOKUP(E29,Postcodes!A:A, Postcodes!B:B, "NOT FOUND")</f>
        <v>S</v>
      </c>
    </row>
    <row r="30" spans="1:6" x14ac:dyDescent="0.25">
      <c r="A30" s="1">
        <v>41725</v>
      </c>
      <c r="B30">
        <v>1</v>
      </c>
      <c r="C30">
        <v>221</v>
      </c>
      <c r="D30" t="str">
        <f>_xlfn.XLOOKUP(B30, 'Cust_inform'!A:A, 'Cust_inform'!E:E, "NOT FOUND")</f>
        <v>EMPLOYED</v>
      </c>
      <c r="E30">
        <f>_xlfn.XLOOKUP(B30, 'Cust_inform'!A:A, 'Cust_inform'!D:D)</f>
        <v>18</v>
      </c>
      <c r="F30" t="str">
        <f>_xlfn.XLOOKUP(E30,Postcodes!A:A, Postcodes!B:B, "NOT FOUND")</f>
        <v>S</v>
      </c>
    </row>
    <row r="31" spans="1:6" x14ac:dyDescent="0.25">
      <c r="A31" s="1">
        <v>41726</v>
      </c>
      <c r="B31">
        <v>1</v>
      </c>
      <c r="C31">
        <v>239</v>
      </c>
      <c r="D31" t="str">
        <f>_xlfn.XLOOKUP(B31, 'Cust_inform'!A:A, 'Cust_inform'!E:E, "NOT FOUND")</f>
        <v>EMPLOYED</v>
      </c>
      <c r="E31">
        <f>_xlfn.XLOOKUP(B31, 'Cust_inform'!A:A, 'Cust_inform'!D:D)</f>
        <v>18</v>
      </c>
      <c r="F31" t="str">
        <f>_xlfn.XLOOKUP(E31,Postcodes!A:A, Postcodes!B:B, "NOT FOUND")</f>
        <v>S</v>
      </c>
    </row>
    <row r="32" spans="1:6" x14ac:dyDescent="0.25">
      <c r="A32" s="1">
        <v>41728</v>
      </c>
      <c r="B32">
        <v>1</v>
      </c>
      <c r="C32">
        <v>258</v>
      </c>
      <c r="D32" t="str">
        <f>_xlfn.XLOOKUP(B32, 'Cust_inform'!A:A, 'Cust_inform'!E:E, "NOT FOUND")</f>
        <v>EMPLOYED</v>
      </c>
      <c r="E32">
        <f>_xlfn.XLOOKUP(B32, 'Cust_inform'!A:A, 'Cust_inform'!D:D)</f>
        <v>18</v>
      </c>
      <c r="F32" t="str">
        <f>_xlfn.XLOOKUP(E32,Postcodes!A:A, Postcodes!B:B, "NOT FOUND")</f>
        <v>S</v>
      </c>
    </row>
    <row r="33" spans="1:6" x14ac:dyDescent="0.25">
      <c r="A33" s="1">
        <v>41734</v>
      </c>
      <c r="B33">
        <v>1</v>
      </c>
      <c r="C33">
        <v>195</v>
      </c>
      <c r="D33" t="str">
        <f>_xlfn.XLOOKUP(B33, 'Cust_inform'!A:A, 'Cust_inform'!E:E, "NOT FOUND")</f>
        <v>EMPLOYED</v>
      </c>
      <c r="E33">
        <f>_xlfn.XLOOKUP(B33, 'Cust_inform'!A:A, 'Cust_inform'!D:D)</f>
        <v>18</v>
      </c>
      <c r="F33" t="str">
        <f>_xlfn.XLOOKUP(E33,Postcodes!A:A, Postcodes!B:B, "NOT FOUND")</f>
        <v>S</v>
      </c>
    </row>
    <row r="34" spans="1:6" x14ac:dyDescent="0.25">
      <c r="A34" s="1">
        <v>41738</v>
      </c>
      <c r="B34">
        <v>1</v>
      </c>
      <c r="C34">
        <v>221</v>
      </c>
      <c r="D34" t="str">
        <f>_xlfn.XLOOKUP(B34, 'Cust_inform'!A:A, 'Cust_inform'!E:E, "NOT FOUND")</f>
        <v>EMPLOYED</v>
      </c>
      <c r="E34">
        <f>_xlfn.XLOOKUP(B34, 'Cust_inform'!A:A, 'Cust_inform'!D:D)</f>
        <v>18</v>
      </c>
      <c r="F34" t="str">
        <f>_xlfn.XLOOKUP(E34,Postcodes!A:A, Postcodes!B:B, "NOT FOUND")</f>
        <v>S</v>
      </c>
    </row>
    <row r="35" spans="1:6" x14ac:dyDescent="0.25">
      <c r="A35" s="1">
        <v>41739</v>
      </c>
      <c r="B35">
        <v>1</v>
      </c>
      <c r="C35">
        <v>204</v>
      </c>
      <c r="D35" t="str">
        <f>_xlfn.XLOOKUP(B35, 'Cust_inform'!A:A, 'Cust_inform'!E:E, "NOT FOUND")</f>
        <v>EMPLOYED</v>
      </c>
      <c r="E35">
        <f>_xlfn.XLOOKUP(B35, 'Cust_inform'!A:A, 'Cust_inform'!D:D)</f>
        <v>18</v>
      </c>
      <c r="F35" t="str">
        <f>_xlfn.XLOOKUP(E35,Postcodes!A:A, Postcodes!B:B, "NOT FOUND")</f>
        <v>S</v>
      </c>
    </row>
    <row r="36" spans="1:6" x14ac:dyDescent="0.25">
      <c r="A36" s="1">
        <v>41750</v>
      </c>
      <c r="B36">
        <v>1</v>
      </c>
      <c r="C36">
        <v>259</v>
      </c>
      <c r="D36" t="str">
        <f>_xlfn.XLOOKUP(B36, 'Cust_inform'!A:A, 'Cust_inform'!E:E, "NOT FOUND")</f>
        <v>EMPLOYED</v>
      </c>
      <c r="E36">
        <f>_xlfn.XLOOKUP(B36, 'Cust_inform'!A:A, 'Cust_inform'!D:D)</f>
        <v>18</v>
      </c>
      <c r="F36" t="str">
        <f>_xlfn.XLOOKUP(E36,Postcodes!A:A, Postcodes!B:B, "NOT FOUND")</f>
        <v>S</v>
      </c>
    </row>
    <row r="37" spans="1:6" x14ac:dyDescent="0.25">
      <c r="A37" s="1">
        <v>41751</v>
      </c>
      <c r="B37">
        <v>1</v>
      </c>
      <c r="C37">
        <v>201</v>
      </c>
      <c r="D37" t="str">
        <f>_xlfn.XLOOKUP(B37, 'Cust_inform'!A:A, 'Cust_inform'!E:E, "NOT FOUND")</f>
        <v>EMPLOYED</v>
      </c>
      <c r="E37">
        <f>_xlfn.XLOOKUP(B37, 'Cust_inform'!A:A, 'Cust_inform'!D:D)</f>
        <v>18</v>
      </c>
      <c r="F37" t="str">
        <f>_xlfn.XLOOKUP(E37,Postcodes!A:A, Postcodes!B:B, "NOT FOUND")</f>
        <v>S</v>
      </c>
    </row>
    <row r="38" spans="1:6" x14ac:dyDescent="0.25">
      <c r="A38" s="1">
        <v>41756</v>
      </c>
      <c r="B38">
        <v>1</v>
      </c>
      <c r="C38">
        <v>234</v>
      </c>
      <c r="D38" t="str">
        <f>_xlfn.XLOOKUP(B38, 'Cust_inform'!A:A, 'Cust_inform'!E:E, "NOT FOUND")</f>
        <v>EMPLOYED</v>
      </c>
      <c r="E38">
        <f>_xlfn.XLOOKUP(B38, 'Cust_inform'!A:A, 'Cust_inform'!D:D)</f>
        <v>18</v>
      </c>
      <c r="F38" t="str">
        <f>_xlfn.XLOOKUP(E38,Postcodes!A:A, Postcodes!B:B, "NOT FOUND")</f>
        <v>S</v>
      </c>
    </row>
    <row r="39" spans="1:6" x14ac:dyDescent="0.25">
      <c r="A39" s="1">
        <v>41760</v>
      </c>
      <c r="B39">
        <v>1</v>
      </c>
      <c r="C39">
        <v>226</v>
      </c>
      <c r="D39" t="str">
        <f>_xlfn.XLOOKUP(B39, 'Cust_inform'!A:A, 'Cust_inform'!E:E, "NOT FOUND")</f>
        <v>EMPLOYED</v>
      </c>
      <c r="E39">
        <f>_xlfn.XLOOKUP(B39, 'Cust_inform'!A:A, 'Cust_inform'!D:D)</f>
        <v>18</v>
      </c>
      <c r="F39" t="str">
        <f>_xlfn.XLOOKUP(E39,Postcodes!A:A, Postcodes!B:B, "NOT FOUND")</f>
        <v>S</v>
      </c>
    </row>
    <row r="40" spans="1:6" x14ac:dyDescent="0.25">
      <c r="A40" s="1">
        <v>41771</v>
      </c>
      <c r="B40">
        <v>1</v>
      </c>
      <c r="C40">
        <v>239</v>
      </c>
      <c r="D40" t="str">
        <f>_xlfn.XLOOKUP(B40, 'Cust_inform'!A:A, 'Cust_inform'!E:E, "NOT FOUND")</f>
        <v>EMPLOYED</v>
      </c>
      <c r="E40">
        <f>_xlfn.XLOOKUP(B40, 'Cust_inform'!A:A, 'Cust_inform'!D:D)</f>
        <v>18</v>
      </c>
      <c r="F40" t="str">
        <f>_xlfn.XLOOKUP(E40,Postcodes!A:A, Postcodes!B:B, "NOT FOUND")</f>
        <v>S</v>
      </c>
    </row>
    <row r="41" spans="1:6" x14ac:dyDescent="0.25">
      <c r="A41" s="1">
        <v>41776</v>
      </c>
      <c r="B41">
        <v>1</v>
      </c>
      <c r="C41">
        <v>209</v>
      </c>
      <c r="D41" t="str">
        <f>_xlfn.XLOOKUP(B41, 'Cust_inform'!A:A, 'Cust_inform'!E:E, "NOT FOUND")</f>
        <v>EMPLOYED</v>
      </c>
      <c r="E41">
        <f>_xlfn.XLOOKUP(B41, 'Cust_inform'!A:A, 'Cust_inform'!D:D)</f>
        <v>18</v>
      </c>
      <c r="F41" t="str">
        <f>_xlfn.XLOOKUP(E41,Postcodes!A:A, Postcodes!B:B, "NOT FOUND")</f>
        <v>S</v>
      </c>
    </row>
    <row r="42" spans="1:6" x14ac:dyDescent="0.25">
      <c r="A42" s="1">
        <v>41782</v>
      </c>
      <c r="B42">
        <v>1</v>
      </c>
      <c r="C42">
        <v>231</v>
      </c>
      <c r="D42" t="str">
        <f>_xlfn.XLOOKUP(B42, 'Cust_inform'!A:A, 'Cust_inform'!E:E, "NOT FOUND")</f>
        <v>EMPLOYED</v>
      </c>
      <c r="E42">
        <f>_xlfn.XLOOKUP(B42, 'Cust_inform'!A:A, 'Cust_inform'!D:D)</f>
        <v>18</v>
      </c>
      <c r="F42" t="str">
        <f>_xlfn.XLOOKUP(E42,Postcodes!A:A, Postcodes!B:B, "NOT FOUND")</f>
        <v>S</v>
      </c>
    </row>
    <row r="43" spans="1:6" x14ac:dyDescent="0.25">
      <c r="A43" s="1">
        <v>41783</v>
      </c>
      <c r="B43">
        <v>1</v>
      </c>
      <c r="C43">
        <v>205</v>
      </c>
      <c r="D43" t="str">
        <f>_xlfn.XLOOKUP(B43, 'Cust_inform'!A:A, 'Cust_inform'!E:E, "NOT FOUND")</f>
        <v>EMPLOYED</v>
      </c>
      <c r="E43">
        <f>_xlfn.XLOOKUP(B43, 'Cust_inform'!A:A, 'Cust_inform'!D:D)</f>
        <v>18</v>
      </c>
      <c r="F43" t="str">
        <f>_xlfn.XLOOKUP(E43,Postcodes!A:A, Postcodes!B:B, "NOT FOUND")</f>
        <v>S</v>
      </c>
    </row>
    <row r="44" spans="1:6" x14ac:dyDescent="0.25">
      <c r="A44" s="1">
        <v>41785</v>
      </c>
      <c r="B44">
        <v>1</v>
      </c>
      <c r="C44">
        <v>234</v>
      </c>
      <c r="D44" t="str">
        <f>_xlfn.XLOOKUP(B44, 'Cust_inform'!A:A, 'Cust_inform'!E:E, "NOT FOUND")</f>
        <v>EMPLOYED</v>
      </c>
      <c r="E44">
        <f>_xlfn.XLOOKUP(B44, 'Cust_inform'!A:A, 'Cust_inform'!D:D)</f>
        <v>18</v>
      </c>
      <c r="F44" t="str">
        <f>_xlfn.XLOOKUP(E44,Postcodes!A:A, Postcodes!B:B, "NOT FOUND")</f>
        <v>S</v>
      </c>
    </row>
    <row r="45" spans="1:6" x14ac:dyDescent="0.25">
      <c r="A45" s="1">
        <v>41790</v>
      </c>
      <c r="B45">
        <v>1</v>
      </c>
      <c r="C45">
        <v>237</v>
      </c>
      <c r="D45" t="str">
        <f>_xlfn.XLOOKUP(B45, 'Cust_inform'!A:A, 'Cust_inform'!E:E, "NOT FOUND")</f>
        <v>EMPLOYED</v>
      </c>
      <c r="E45">
        <f>_xlfn.XLOOKUP(B45, 'Cust_inform'!A:A, 'Cust_inform'!D:D)</f>
        <v>18</v>
      </c>
      <c r="F45" t="str">
        <f>_xlfn.XLOOKUP(E45,Postcodes!A:A, Postcodes!B:B, "NOT FOUND")</f>
        <v>S</v>
      </c>
    </row>
    <row r="46" spans="1:6" x14ac:dyDescent="0.25">
      <c r="A46" s="1">
        <v>41801</v>
      </c>
      <c r="B46">
        <v>1</v>
      </c>
      <c r="C46">
        <v>206</v>
      </c>
      <c r="D46" t="str">
        <f>_xlfn.XLOOKUP(B46, 'Cust_inform'!A:A, 'Cust_inform'!E:E, "NOT FOUND")</f>
        <v>EMPLOYED</v>
      </c>
      <c r="E46">
        <f>_xlfn.XLOOKUP(B46, 'Cust_inform'!A:A, 'Cust_inform'!D:D)</f>
        <v>18</v>
      </c>
      <c r="F46" t="str">
        <f>_xlfn.XLOOKUP(E46,Postcodes!A:A, Postcodes!B:B, "NOT FOUND")</f>
        <v>S</v>
      </c>
    </row>
    <row r="47" spans="1:6" x14ac:dyDescent="0.25">
      <c r="A47" s="1">
        <v>41801</v>
      </c>
      <c r="B47">
        <v>1</v>
      </c>
      <c r="C47">
        <v>227</v>
      </c>
      <c r="D47" t="str">
        <f>_xlfn.XLOOKUP(B47, 'Cust_inform'!A:A, 'Cust_inform'!E:E, "NOT FOUND")</f>
        <v>EMPLOYED</v>
      </c>
      <c r="E47">
        <f>_xlfn.XLOOKUP(B47, 'Cust_inform'!A:A, 'Cust_inform'!D:D)</f>
        <v>18</v>
      </c>
      <c r="F47" t="str">
        <f>_xlfn.XLOOKUP(E47,Postcodes!A:A, Postcodes!B:B, "NOT FOUND")</f>
        <v>S</v>
      </c>
    </row>
    <row r="48" spans="1:6" x14ac:dyDescent="0.25">
      <c r="A48" s="1">
        <v>41804</v>
      </c>
      <c r="B48">
        <v>1</v>
      </c>
      <c r="C48">
        <v>200</v>
      </c>
      <c r="D48" t="str">
        <f>_xlfn.XLOOKUP(B48, 'Cust_inform'!A:A, 'Cust_inform'!E:E, "NOT FOUND")</f>
        <v>EMPLOYED</v>
      </c>
      <c r="E48">
        <f>_xlfn.XLOOKUP(B48, 'Cust_inform'!A:A, 'Cust_inform'!D:D)</f>
        <v>18</v>
      </c>
      <c r="F48" t="str">
        <f>_xlfn.XLOOKUP(E48,Postcodes!A:A, Postcodes!B:B, "NOT FOUND")</f>
        <v>S</v>
      </c>
    </row>
    <row r="49" spans="1:6" x14ac:dyDescent="0.25">
      <c r="A49" s="1">
        <v>41805</v>
      </c>
      <c r="B49">
        <v>1</v>
      </c>
      <c r="C49">
        <v>244</v>
      </c>
      <c r="D49" t="str">
        <f>_xlfn.XLOOKUP(B49, 'Cust_inform'!A:A, 'Cust_inform'!E:E, "NOT FOUND")</f>
        <v>EMPLOYED</v>
      </c>
      <c r="E49">
        <f>_xlfn.XLOOKUP(B49, 'Cust_inform'!A:A, 'Cust_inform'!D:D)</f>
        <v>18</v>
      </c>
      <c r="F49" t="str">
        <f>_xlfn.XLOOKUP(E49,Postcodes!A:A, Postcodes!B:B, "NOT FOUND")</f>
        <v>S</v>
      </c>
    </row>
    <row r="50" spans="1:6" x14ac:dyDescent="0.25">
      <c r="A50" s="1">
        <v>41805</v>
      </c>
      <c r="B50">
        <v>1</v>
      </c>
      <c r="C50">
        <v>213</v>
      </c>
      <c r="D50" t="str">
        <f>_xlfn.XLOOKUP(B50, 'Cust_inform'!A:A, 'Cust_inform'!E:E, "NOT FOUND")</f>
        <v>EMPLOYED</v>
      </c>
      <c r="E50">
        <f>_xlfn.XLOOKUP(B50, 'Cust_inform'!A:A, 'Cust_inform'!D:D)</f>
        <v>18</v>
      </c>
      <c r="F50" t="str">
        <f>_xlfn.XLOOKUP(E50,Postcodes!A:A, Postcodes!B:B, "NOT FOUND")</f>
        <v>S</v>
      </c>
    </row>
    <row r="51" spans="1:6" x14ac:dyDescent="0.25">
      <c r="A51" s="1">
        <v>41807</v>
      </c>
      <c r="B51">
        <v>1</v>
      </c>
      <c r="C51">
        <v>255</v>
      </c>
      <c r="D51" t="str">
        <f>_xlfn.XLOOKUP(B51, 'Cust_inform'!A:A, 'Cust_inform'!E:E, "NOT FOUND")</f>
        <v>EMPLOYED</v>
      </c>
      <c r="E51">
        <f>_xlfn.XLOOKUP(B51, 'Cust_inform'!A:A, 'Cust_inform'!D:D)</f>
        <v>18</v>
      </c>
      <c r="F51" t="str">
        <f>_xlfn.XLOOKUP(E51,Postcodes!A:A, Postcodes!B:B, "NOT FOUND")</f>
        <v>S</v>
      </c>
    </row>
    <row r="52" spans="1:6" x14ac:dyDescent="0.25">
      <c r="A52" s="1">
        <v>41625</v>
      </c>
      <c r="B52">
        <v>2</v>
      </c>
      <c r="C52">
        <v>271</v>
      </c>
      <c r="D52" t="str">
        <f>_xlfn.XLOOKUP(B52, 'Cust_inform'!A:A, 'Cust_inform'!E:E, "NOT FOUND")</f>
        <v>UNEMPLOYED</v>
      </c>
      <c r="E52">
        <f>_xlfn.XLOOKUP(B52, 'Cust_inform'!A:A, 'Cust_inform'!D:D)</f>
        <v>20</v>
      </c>
      <c r="F52" t="str">
        <f>_xlfn.XLOOKUP(E52,Postcodes!A:A, Postcodes!B:B, "NOT FOUND")</f>
        <v/>
      </c>
    </row>
    <row r="53" spans="1:6" x14ac:dyDescent="0.25">
      <c r="A53" s="1">
        <v>41625</v>
      </c>
      <c r="B53">
        <v>2</v>
      </c>
      <c r="C53">
        <v>253</v>
      </c>
      <c r="D53" t="str">
        <f>_xlfn.XLOOKUP(B53, 'Cust_inform'!A:A, 'Cust_inform'!E:E, "NOT FOUND")</f>
        <v>UNEMPLOYED</v>
      </c>
      <c r="E53">
        <f>_xlfn.XLOOKUP(B53, 'Cust_inform'!A:A, 'Cust_inform'!D:D)</f>
        <v>20</v>
      </c>
      <c r="F53" t="str">
        <f>_xlfn.XLOOKUP(E53,Postcodes!A:A, Postcodes!B:B, "NOT FOUND")</f>
        <v/>
      </c>
    </row>
    <row r="54" spans="1:6" x14ac:dyDescent="0.25">
      <c r="A54" s="1">
        <v>41642</v>
      </c>
      <c r="B54">
        <v>2</v>
      </c>
      <c r="C54">
        <v>270</v>
      </c>
      <c r="D54" t="str">
        <f>_xlfn.XLOOKUP(B54, 'Cust_inform'!A:A, 'Cust_inform'!E:E, "NOT FOUND")</f>
        <v>UNEMPLOYED</v>
      </c>
      <c r="E54">
        <f>_xlfn.XLOOKUP(B54, 'Cust_inform'!A:A, 'Cust_inform'!D:D)</f>
        <v>20</v>
      </c>
      <c r="F54" t="str">
        <f>_xlfn.XLOOKUP(E54,Postcodes!A:A, Postcodes!B:B, "NOT FOUND")</f>
        <v/>
      </c>
    </row>
    <row r="55" spans="1:6" x14ac:dyDescent="0.25">
      <c r="A55" s="1">
        <v>41643</v>
      </c>
      <c r="B55">
        <v>2</v>
      </c>
      <c r="C55">
        <v>291</v>
      </c>
      <c r="D55" t="str">
        <f>_xlfn.XLOOKUP(B55, 'Cust_inform'!A:A, 'Cust_inform'!E:E, "NOT FOUND")</f>
        <v>UNEMPLOYED</v>
      </c>
      <c r="E55">
        <f>_xlfn.XLOOKUP(B55, 'Cust_inform'!A:A, 'Cust_inform'!D:D)</f>
        <v>20</v>
      </c>
      <c r="F55" t="str">
        <f>_xlfn.XLOOKUP(E55,Postcodes!A:A, Postcodes!B:B, "NOT FOUND")</f>
        <v/>
      </c>
    </row>
    <row r="56" spans="1:6" x14ac:dyDescent="0.25">
      <c r="A56" s="1">
        <v>41644</v>
      </c>
      <c r="B56">
        <v>2</v>
      </c>
      <c r="C56">
        <v>270</v>
      </c>
      <c r="D56" t="str">
        <f>_xlfn.XLOOKUP(B56, 'Cust_inform'!A:A, 'Cust_inform'!E:E, "NOT FOUND")</f>
        <v>UNEMPLOYED</v>
      </c>
      <c r="E56">
        <f>_xlfn.XLOOKUP(B56, 'Cust_inform'!A:A, 'Cust_inform'!D:D)</f>
        <v>20</v>
      </c>
      <c r="F56" t="str">
        <f>_xlfn.XLOOKUP(E56,Postcodes!A:A, Postcodes!B:B, "NOT FOUND")</f>
        <v/>
      </c>
    </row>
    <row r="57" spans="1:6" x14ac:dyDescent="0.25">
      <c r="A57" s="1">
        <v>41654</v>
      </c>
      <c r="B57">
        <v>2</v>
      </c>
      <c r="C57">
        <v>267</v>
      </c>
      <c r="D57" t="str">
        <f>_xlfn.XLOOKUP(B57, 'Cust_inform'!A:A, 'Cust_inform'!E:E, "NOT FOUND")</f>
        <v>UNEMPLOYED</v>
      </c>
      <c r="E57">
        <f>_xlfn.XLOOKUP(B57, 'Cust_inform'!A:A, 'Cust_inform'!D:D)</f>
        <v>20</v>
      </c>
      <c r="F57" t="str">
        <f>_xlfn.XLOOKUP(E57,Postcodes!A:A, Postcodes!B:B, "NOT FOUND")</f>
        <v/>
      </c>
    </row>
    <row r="58" spans="1:6" x14ac:dyDescent="0.25">
      <c r="A58" s="1">
        <v>41657</v>
      </c>
      <c r="B58">
        <v>2</v>
      </c>
      <c r="C58">
        <v>250</v>
      </c>
      <c r="D58" t="str">
        <f>_xlfn.XLOOKUP(B58, 'Cust_inform'!A:A, 'Cust_inform'!E:E, "NOT FOUND")</f>
        <v>UNEMPLOYED</v>
      </c>
      <c r="E58">
        <f>_xlfn.XLOOKUP(B58, 'Cust_inform'!A:A, 'Cust_inform'!D:D)</f>
        <v>20</v>
      </c>
      <c r="F58" t="str">
        <f>_xlfn.XLOOKUP(E58,Postcodes!A:A, Postcodes!B:B, "NOT FOUND")</f>
        <v/>
      </c>
    </row>
    <row r="59" spans="1:6" x14ac:dyDescent="0.25">
      <c r="A59" s="1">
        <v>41661</v>
      </c>
      <c r="B59">
        <v>2</v>
      </c>
      <c r="C59">
        <v>281</v>
      </c>
      <c r="D59" t="str">
        <f>_xlfn.XLOOKUP(B59, 'Cust_inform'!A:A, 'Cust_inform'!E:E, "NOT FOUND")</f>
        <v>UNEMPLOYED</v>
      </c>
      <c r="E59">
        <f>_xlfn.XLOOKUP(B59, 'Cust_inform'!A:A, 'Cust_inform'!D:D)</f>
        <v>20</v>
      </c>
      <c r="F59" t="str">
        <f>_xlfn.XLOOKUP(E59,Postcodes!A:A, Postcodes!B:B, "NOT FOUND")</f>
        <v/>
      </c>
    </row>
    <row r="60" spans="1:6" x14ac:dyDescent="0.25">
      <c r="A60" s="1">
        <v>41666</v>
      </c>
      <c r="B60">
        <v>2</v>
      </c>
      <c r="C60">
        <v>259</v>
      </c>
      <c r="D60" t="str">
        <f>_xlfn.XLOOKUP(B60, 'Cust_inform'!A:A, 'Cust_inform'!E:E, "NOT FOUND")</f>
        <v>UNEMPLOYED</v>
      </c>
      <c r="E60">
        <f>_xlfn.XLOOKUP(B60, 'Cust_inform'!A:A, 'Cust_inform'!D:D)</f>
        <v>20</v>
      </c>
      <c r="F60" t="str">
        <f>_xlfn.XLOOKUP(E60,Postcodes!A:A, Postcodes!B:B, "NOT FOUND")</f>
        <v/>
      </c>
    </row>
    <row r="61" spans="1:6" x14ac:dyDescent="0.25">
      <c r="A61" s="1">
        <v>41669</v>
      </c>
      <c r="B61">
        <v>2</v>
      </c>
      <c r="C61">
        <v>289</v>
      </c>
      <c r="D61" t="str">
        <f>_xlfn.XLOOKUP(B61, 'Cust_inform'!A:A, 'Cust_inform'!E:E, "NOT FOUND")</f>
        <v>UNEMPLOYED</v>
      </c>
      <c r="E61">
        <f>_xlfn.XLOOKUP(B61, 'Cust_inform'!A:A, 'Cust_inform'!D:D)</f>
        <v>20</v>
      </c>
      <c r="F61" t="str">
        <f>_xlfn.XLOOKUP(E61,Postcodes!A:A, Postcodes!B:B, "NOT FOUND")</f>
        <v/>
      </c>
    </row>
    <row r="62" spans="1:6" x14ac:dyDescent="0.25">
      <c r="A62" s="1">
        <v>41672</v>
      </c>
      <c r="B62">
        <v>2</v>
      </c>
      <c r="C62">
        <v>290</v>
      </c>
      <c r="D62" t="str">
        <f>_xlfn.XLOOKUP(B62, 'Cust_inform'!A:A, 'Cust_inform'!E:E, "NOT FOUND")</f>
        <v>UNEMPLOYED</v>
      </c>
      <c r="E62">
        <f>_xlfn.XLOOKUP(B62, 'Cust_inform'!A:A, 'Cust_inform'!D:D)</f>
        <v>20</v>
      </c>
      <c r="F62" t="str">
        <f>_xlfn.XLOOKUP(E62,Postcodes!A:A, Postcodes!B:B, "NOT FOUND")</f>
        <v/>
      </c>
    </row>
    <row r="63" spans="1:6" x14ac:dyDescent="0.25">
      <c r="A63" s="1">
        <v>41676</v>
      </c>
      <c r="B63">
        <v>2</v>
      </c>
      <c r="C63">
        <v>243</v>
      </c>
      <c r="D63" t="str">
        <f>_xlfn.XLOOKUP(B63, 'Cust_inform'!A:A, 'Cust_inform'!E:E, "NOT FOUND")</f>
        <v>UNEMPLOYED</v>
      </c>
      <c r="E63">
        <f>_xlfn.XLOOKUP(B63, 'Cust_inform'!A:A, 'Cust_inform'!D:D)</f>
        <v>20</v>
      </c>
      <c r="F63" t="str">
        <f>_xlfn.XLOOKUP(E63,Postcodes!A:A, Postcodes!B:B, "NOT FOUND")</f>
        <v/>
      </c>
    </row>
    <row r="64" spans="1:6" x14ac:dyDescent="0.25">
      <c r="A64" s="1">
        <v>41690</v>
      </c>
      <c r="B64">
        <v>2</v>
      </c>
      <c r="C64">
        <v>271</v>
      </c>
      <c r="D64" t="str">
        <f>_xlfn.XLOOKUP(B64, 'Cust_inform'!A:A, 'Cust_inform'!E:E, "NOT FOUND")</f>
        <v>UNEMPLOYED</v>
      </c>
      <c r="E64">
        <f>_xlfn.XLOOKUP(B64, 'Cust_inform'!A:A, 'Cust_inform'!D:D)</f>
        <v>20</v>
      </c>
      <c r="F64" t="str">
        <f>_xlfn.XLOOKUP(E64,Postcodes!A:A, Postcodes!B:B, "NOT FOUND")</f>
        <v/>
      </c>
    </row>
    <row r="65" spans="1:6" x14ac:dyDescent="0.25">
      <c r="A65" s="1">
        <v>41690</v>
      </c>
      <c r="B65">
        <v>2</v>
      </c>
      <c r="C65">
        <v>248</v>
      </c>
      <c r="D65" t="str">
        <f>_xlfn.XLOOKUP(B65, 'Cust_inform'!A:A, 'Cust_inform'!E:E, "NOT FOUND")</f>
        <v>UNEMPLOYED</v>
      </c>
      <c r="E65">
        <f>_xlfn.XLOOKUP(B65, 'Cust_inform'!A:A, 'Cust_inform'!D:D)</f>
        <v>20</v>
      </c>
      <c r="F65" t="str">
        <f>_xlfn.XLOOKUP(E65,Postcodes!A:A, Postcodes!B:B, "NOT FOUND")</f>
        <v/>
      </c>
    </row>
    <row r="66" spans="1:6" x14ac:dyDescent="0.25">
      <c r="A66" s="1">
        <v>41705</v>
      </c>
      <c r="B66">
        <v>2</v>
      </c>
      <c r="C66">
        <v>269</v>
      </c>
      <c r="D66" t="str">
        <f>_xlfn.XLOOKUP(B66, 'Cust_inform'!A:A, 'Cust_inform'!E:E, "NOT FOUND")</f>
        <v>UNEMPLOYED</v>
      </c>
      <c r="E66">
        <f>_xlfn.XLOOKUP(B66, 'Cust_inform'!A:A, 'Cust_inform'!D:D)</f>
        <v>20</v>
      </c>
      <c r="F66" t="str">
        <f>_xlfn.XLOOKUP(E66,Postcodes!A:A, Postcodes!B:B, "NOT FOUND")</f>
        <v/>
      </c>
    </row>
    <row r="67" spans="1:6" x14ac:dyDescent="0.25">
      <c r="A67" s="1">
        <v>41706</v>
      </c>
      <c r="B67">
        <v>2</v>
      </c>
      <c r="C67">
        <v>239</v>
      </c>
      <c r="D67" t="str">
        <f>_xlfn.XLOOKUP(B67, 'Cust_inform'!A:A, 'Cust_inform'!E:E, "NOT FOUND")</f>
        <v>UNEMPLOYED</v>
      </c>
      <c r="E67">
        <f>_xlfn.XLOOKUP(B67, 'Cust_inform'!A:A, 'Cust_inform'!D:D)</f>
        <v>20</v>
      </c>
      <c r="F67" t="str">
        <f>_xlfn.XLOOKUP(E67,Postcodes!A:A, Postcodes!B:B, "NOT FOUND")</f>
        <v/>
      </c>
    </row>
    <row r="68" spans="1:6" x14ac:dyDescent="0.25">
      <c r="A68" s="1">
        <v>41709</v>
      </c>
      <c r="B68">
        <v>2</v>
      </c>
      <c r="C68">
        <v>310</v>
      </c>
      <c r="D68" t="str">
        <f>_xlfn.XLOOKUP(B68, 'Cust_inform'!A:A, 'Cust_inform'!E:E, "NOT FOUND")</f>
        <v>UNEMPLOYED</v>
      </c>
      <c r="E68">
        <f>_xlfn.XLOOKUP(B68, 'Cust_inform'!A:A, 'Cust_inform'!D:D)</f>
        <v>20</v>
      </c>
      <c r="F68" t="str">
        <f>_xlfn.XLOOKUP(E68,Postcodes!A:A, Postcodes!B:B, "NOT FOUND")</f>
        <v/>
      </c>
    </row>
    <row r="69" spans="1:6" x14ac:dyDescent="0.25">
      <c r="A69" s="1">
        <v>41716</v>
      </c>
      <c r="B69">
        <v>2</v>
      </c>
      <c r="C69">
        <v>253</v>
      </c>
      <c r="D69" t="str">
        <f>_xlfn.XLOOKUP(B69, 'Cust_inform'!A:A, 'Cust_inform'!E:E, "NOT FOUND")</f>
        <v>UNEMPLOYED</v>
      </c>
      <c r="E69">
        <f>_xlfn.XLOOKUP(B69, 'Cust_inform'!A:A, 'Cust_inform'!D:D)</f>
        <v>20</v>
      </c>
      <c r="F69" t="str">
        <f>_xlfn.XLOOKUP(E69,Postcodes!A:A, Postcodes!B:B, "NOT FOUND")</f>
        <v/>
      </c>
    </row>
    <row r="70" spans="1:6" x14ac:dyDescent="0.25">
      <c r="A70" s="1">
        <v>41720</v>
      </c>
      <c r="B70">
        <v>2</v>
      </c>
      <c r="C70">
        <v>245</v>
      </c>
      <c r="D70" t="str">
        <f>_xlfn.XLOOKUP(B70, 'Cust_inform'!A:A, 'Cust_inform'!E:E, "NOT FOUND")</f>
        <v>UNEMPLOYED</v>
      </c>
      <c r="E70">
        <f>_xlfn.XLOOKUP(B70, 'Cust_inform'!A:A, 'Cust_inform'!D:D)</f>
        <v>20</v>
      </c>
      <c r="F70" t="str">
        <f>_xlfn.XLOOKUP(E70,Postcodes!A:A, Postcodes!B:B, "NOT FOUND")</f>
        <v/>
      </c>
    </row>
    <row r="71" spans="1:6" x14ac:dyDescent="0.25">
      <c r="A71" s="1">
        <v>41720</v>
      </c>
      <c r="B71">
        <v>2</v>
      </c>
      <c r="C71">
        <v>268</v>
      </c>
      <c r="D71" t="str">
        <f>_xlfn.XLOOKUP(B71, 'Cust_inform'!A:A, 'Cust_inform'!E:E, "NOT FOUND")</f>
        <v>UNEMPLOYED</v>
      </c>
      <c r="E71">
        <f>_xlfn.XLOOKUP(B71, 'Cust_inform'!A:A, 'Cust_inform'!D:D)</f>
        <v>20</v>
      </c>
      <c r="F71" t="str">
        <f>_xlfn.XLOOKUP(E71,Postcodes!A:A, Postcodes!B:B, "NOT FOUND")</f>
        <v/>
      </c>
    </row>
    <row r="72" spans="1:6" x14ac:dyDescent="0.25">
      <c r="A72" s="1">
        <v>41722</v>
      </c>
      <c r="B72">
        <v>2</v>
      </c>
      <c r="C72">
        <v>260</v>
      </c>
      <c r="D72" t="str">
        <f>_xlfn.XLOOKUP(B72, 'Cust_inform'!A:A, 'Cust_inform'!E:E, "NOT FOUND")</f>
        <v>UNEMPLOYED</v>
      </c>
      <c r="E72">
        <f>_xlfn.XLOOKUP(B72, 'Cust_inform'!A:A, 'Cust_inform'!D:D)</f>
        <v>20</v>
      </c>
      <c r="F72" t="str">
        <f>_xlfn.XLOOKUP(E72,Postcodes!A:A, Postcodes!B:B, "NOT FOUND")</f>
        <v/>
      </c>
    </row>
    <row r="73" spans="1:6" x14ac:dyDescent="0.25">
      <c r="A73" s="1">
        <v>41727</v>
      </c>
      <c r="B73">
        <v>2</v>
      </c>
      <c r="C73">
        <v>285</v>
      </c>
      <c r="D73" t="str">
        <f>_xlfn.XLOOKUP(B73, 'Cust_inform'!A:A, 'Cust_inform'!E:E, "NOT FOUND")</f>
        <v>UNEMPLOYED</v>
      </c>
      <c r="E73">
        <f>_xlfn.XLOOKUP(B73, 'Cust_inform'!A:A, 'Cust_inform'!D:D)</f>
        <v>20</v>
      </c>
      <c r="F73" t="str">
        <f>_xlfn.XLOOKUP(E73,Postcodes!A:A, Postcodes!B:B, "NOT FOUND")</f>
        <v/>
      </c>
    </row>
    <row r="74" spans="1:6" x14ac:dyDescent="0.25">
      <c r="A74" s="1">
        <v>41732</v>
      </c>
      <c r="B74">
        <v>2</v>
      </c>
      <c r="C74">
        <v>269</v>
      </c>
      <c r="D74" t="str">
        <f>_xlfn.XLOOKUP(B74, 'Cust_inform'!A:A, 'Cust_inform'!E:E, "NOT FOUND")</f>
        <v>UNEMPLOYED</v>
      </c>
      <c r="E74">
        <f>_xlfn.XLOOKUP(B74, 'Cust_inform'!A:A, 'Cust_inform'!D:D)</f>
        <v>20</v>
      </c>
      <c r="F74" t="str">
        <f>_xlfn.XLOOKUP(E74,Postcodes!A:A, Postcodes!B:B, "NOT FOUND")</f>
        <v/>
      </c>
    </row>
    <row r="75" spans="1:6" x14ac:dyDescent="0.25">
      <c r="A75" s="1">
        <v>41736</v>
      </c>
      <c r="B75">
        <v>2</v>
      </c>
      <c r="C75">
        <v>259</v>
      </c>
      <c r="D75" t="str">
        <f>_xlfn.XLOOKUP(B75, 'Cust_inform'!A:A, 'Cust_inform'!E:E, "NOT FOUND")</f>
        <v>UNEMPLOYED</v>
      </c>
      <c r="E75">
        <f>_xlfn.XLOOKUP(B75, 'Cust_inform'!A:A, 'Cust_inform'!D:D)</f>
        <v>20</v>
      </c>
      <c r="F75" t="str">
        <f>_xlfn.XLOOKUP(E75,Postcodes!A:A, Postcodes!B:B, "NOT FOUND")</f>
        <v/>
      </c>
    </row>
    <row r="76" spans="1:6" x14ac:dyDescent="0.25">
      <c r="A76" s="1">
        <v>41755</v>
      </c>
      <c r="B76">
        <v>2</v>
      </c>
      <c r="C76">
        <v>282</v>
      </c>
      <c r="D76" t="str">
        <f>_xlfn.XLOOKUP(B76, 'Cust_inform'!A:A, 'Cust_inform'!E:E, "NOT FOUND")</f>
        <v>UNEMPLOYED</v>
      </c>
      <c r="E76">
        <f>_xlfn.XLOOKUP(B76, 'Cust_inform'!A:A, 'Cust_inform'!D:D)</f>
        <v>20</v>
      </c>
      <c r="F76" t="str">
        <f>_xlfn.XLOOKUP(E76,Postcodes!A:A, Postcodes!B:B, "NOT FOUND")</f>
        <v/>
      </c>
    </row>
    <row r="77" spans="1:6" x14ac:dyDescent="0.25">
      <c r="A77" s="1">
        <v>41761</v>
      </c>
      <c r="B77">
        <v>2</v>
      </c>
      <c r="C77">
        <v>243</v>
      </c>
      <c r="D77" t="str">
        <f>_xlfn.XLOOKUP(B77, 'Cust_inform'!A:A, 'Cust_inform'!E:E, "NOT FOUND")</f>
        <v>UNEMPLOYED</v>
      </c>
      <c r="E77">
        <f>_xlfn.XLOOKUP(B77, 'Cust_inform'!A:A, 'Cust_inform'!D:D)</f>
        <v>20</v>
      </c>
      <c r="F77" t="str">
        <f>_xlfn.XLOOKUP(E77,Postcodes!A:A, Postcodes!B:B, "NOT FOUND")</f>
        <v/>
      </c>
    </row>
    <row r="78" spans="1:6" x14ac:dyDescent="0.25">
      <c r="A78" s="1">
        <v>41768</v>
      </c>
      <c r="B78">
        <v>2</v>
      </c>
      <c r="C78">
        <v>240</v>
      </c>
      <c r="D78" t="str">
        <f>_xlfn.XLOOKUP(B78, 'Cust_inform'!A:A, 'Cust_inform'!E:E, "NOT FOUND")</f>
        <v>UNEMPLOYED</v>
      </c>
      <c r="E78">
        <f>_xlfn.XLOOKUP(B78, 'Cust_inform'!A:A, 'Cust_inform'!D:D)</f>
        <v>20</v>
      </c>
      <c r="F78" t="str">
        <f>_xlfn.XLOOKUP(E78,Postcodes!A:A, Postcodes!B:B, "NOT FOUND")</f>
        <v/>
      </c>
    </row>
    <row r="79" spans="1:6" x14ac:dyDescent="0.25">
      <c r="A79" s="1">
        <v>41777</v>
      </c>
      <c r="B79">
        <v>2</v>
      </c>
      <c r="C79">
        <v>258</v>
      </c>
      <c r="D79" t="str">
        <f>_xlfn.XLOOKUP(B79, 'Cust_inform'!A:A, 'Cust_inform'!E:E, "NOT FOUND")</f>
        <v>UNEMPLOYED</v>
      </c>
      <c r="E79">
        <f>_xlfn.XLOOKUP(B79, 'Cust_inform'!A:A, 'Cust_inform'!D:D)</f>
        <v>20</v>
      </c>
      <c r="F79" t="str">
        <f>_xlfn.XLOOKUP(E79,Postcodes!A:A, Postcodes!B:B, "NOT FOUND")</f>
        <v/>
      </c>
    </row>
    <row r="80" spans="1:6" x14ac:dyDescent="0.25">
      <c r="A80" s="1">
        <v>41779</v>
      </c>
      <c r="B80">
        <v>2</v>
      </c>
      <c r="C80">
        <v>314</v>
      </c>
      <c r="D80" t="str">
        <f>_xlfn.XLOOKUP(B80, 'Cust_inform'!A:A, 'Cust_inform'!E:E, "NOT FOUND")</f>
        <v>UNEMPLOYED</v>
      </c>
      <c r="E80">
        <f>_xlfn.XLOOKUP(B80, 'Cust_inform'!A:A, 'Cust_inform'!D:D)</f>
        <v>20</v>
      </c>
      <c r="F80" t="str">
        <f>_xlfn.XLOOKUP(E80,Postcodes!A:A, Postcodes!B:B, "NOT FOUND")</f>
        <v/>
      </c>
    </row>
    <row r="81" spans="1:6" x14ac:dyDescent="0.25">
      <c r="A81" s="1">
        <v>41783</v>
      </c>
      <c r="B81">
        <v>2</v>
      </c>
      <c r="C81">
        <v>301</v>
      </c>
      <c r="D81" t="str">
        <f>_xlfn.XLOOKUP(B81, 'Cust_inform'!A:A, 'Cust_inform'!E:E, "NOT FOUND")</f>
        <v>UNEMPLOYED</v>
      </c>
      <c r="E81">
        <f>_xlfn.XLOOKUP(B81, 'Cust_inform'!A:A, 'Cust_inform'!D:D)</f>
        <v>20</v>
      </c>
      <c r="F81" t="str">
        <f>_xlfn.XLOOKUP(E81,Postcodes!A:A, Postcodes!B:B, "NOT FOUND")</f>
        <v/>
      </c>
    </row>
    <row r="82" spans="1:6" x14ac:dyDescent="0.25">
      <c r="A82" s="1">
        <v>41784</v>
      </c>
      <c r="B82">
        <v>2</v>
      </c>
      <c r="C82">
        <v>273</v>
      </c>
      <c r="D82" t="str">
        <f>_xlfn.XLOOKUP(B82, 'Cust_inform'!A:A, 'Cust_inform'!E:E, "NOT FOUND")</f>
        <v>UNEMPLOYED</v>
      </c>
      <c r="E82">
        <f>_xlfn.XLOOKUP(B82, 'Cust_inform'!A:A, 'Cust_inform'!D:D)</f>
        <v>20</v>
      </c>
      <c r="F82" t="str">
        <f>_xlfn.XLOOKUP(E82,Postcodes!A:A, Postcodes!B:B, "NOT FOUND")</f>
        <v/>
      </c>
    </row>
    <row r="83" spans="1:6" x14ac:dyDescent="0.25">
      <c r="A83" s="1">
        <v>41786</v>
      </c>
      <c r="B83">
        <v>2</v>
      </c>
      <c r="C83">
        <v>266</v>
      </c>
      <c r="D83" t="str">
        <f>_xlfn.XLOOKUP(B83, 'Cust_inform'!A:A, 'Cust_inform'!E:E, "NOT FOUND")</f>
        <v>UNEMPLOYED</v>
      </c>
      <c r="E83">
        <f>_xlfn.XLOOKUP(B83, 'Cust_inform'!A:A, 'Cust_inform'!D:D)</f>
        <v>20</v>
      </c>
      <c r="F83" t="str">
        <f>_xlfn.XLOOKUP(E83,Postcodes!A:A, Postcodes!B:B, "NOT FOUND")</f>
        <v/>
      </c>
    </row>
    <row r="84" spans="1:6" x14ac:dyDescent="0.25">
      <c r="A84" s="1">
        <v>41789</v>
      </c>
      <c r="B84">
        <v>2</v>
      </c>
      <c r="C84">
        <v>248</v>
      </c>
      <c r="D84" t="str">
        <f>_xlfn.XLOOKUP(B84, 'Cust_inform'!A:A, 'Cust_inform'!E:E, "NOT FOUND")</f>
        <v>UNEMPLOYED</v>
      </c>
      <c r="E84">
        <f>_xlfn.XLOOKUP(B84, 'Cust_inform'!A:A, 'Cust_inform'!D:D)</f>
        <v>20</v>
      </c>
      <c r="F84" t="str">
        <f>_xlfn.XLOOKUP(E84,Postcodes!A:A, Postcodes!B:B, "NOT FOUND")</f>
        <v/>
      </c>
    </row>
    <row r="85" spans="1:6" x14ac:dyDescent="0.25">
      <c r="A85" s="1">
        <v>41794</v>
      </c>
      <c r="B85">
        <v>2</v>
      </c>
      <c r="C85">
        <v>253</v>
      </c>
      <c r="D85" t="str">
        <f>_xlfn.XLOOKUP(B85, 'Cust_inform'!A:A, 'Cust_inform'!E:E, "NOT FOUND")</f>
        <v>UNEMPLOYED</v>
      </c>
      <c r="E85">
        <f>_xlfn.XLOOKUP(B85, 'Cust_inform'!A:A, 'Cust_inform'!D:D)</f>
        <v>20</v>
      </c>
      <c r="F85" t="str">
        <f>_xlfn.XLOOKUP(E85,Postcodes!A:A, Postcodes!B:B, "NOT FOUND")</f>
        <v/>
      </c>
    </row>
    <row r="86" spans="1:6" x14ac:dyDescent="0.25">
      <c r="A86" s="1">
        <v>41795</v>
      </c>
      <c r="B86">
        <v>2</v>
      </c>
      <c r="C86">
        <v>282</v>
      </c>
      <c r="D86" t="str">
        <f>_xlfn.XLOOKUP(B86, 'Cust_inform'!A:A, 'Cust_inform'!E:E, "NOT FOUND")</f>
        <v>UNEMPLOYED</v>
      </c>
      <c r="E86">
        <f>_xlfn.XLOOKUP(B86, 'Cust_inform'!A:A, 'Cust_inform'!D:D)</f>
        <v>20</v>
      </c>
      <c r="F86" t="str">
        <f>_xlfn.XLOOKUP(E86,Postcodes!A:A, Postcodes!B:B, "NOT FOUND")</f>
        <v/>
      </c>
    </row>
    <row r="87" spans="1:6" x14ac:dyDescent="0.25">
      <c r="A87" s="1">
        <v>41809</v>
      </c>
      <c r="B87">
        <v>2</v>
      </c>
      <c r="C87">
        <v>269</v>
      </c>
      <c r="D87" t="str">
        <f>_xlfn.XLOOKUP(B87, 'Cust_inform'!A:A, 'Cust_inform'!E:E, "NOT FOUND")</f>
        <v>UNEMPLOYED</v>
      </c>
      <c r="E87">
        <f>_xlfn.XLOOKUP(B87, 'Cust_inform'!A:A, 'Cust_inform'!D:D)</f>
        <v>20</v>
      </c>
      <c r="F87" t="str">
        <f>_xlfn.XLOOKUP(E87,Postcodes!A:A, Postcodes!B:B, "NOT FOUND")</f>
        <v/>
      </c>
    </row>
    <row r="88" spans="1:6" x14ac:dyDescent="0.25">
      <c r="A88" s="1">
        <v>41811</v>
      </c>
      <c r="B88">
        <v>2</v>
      </c>
      <c r="C88">
        <v>282</v>
      </c>
      <c r="D88" t="str">
        <f>_xlfn.XLOOKUP(B88, 'Cust_inform'!A:A, 'Cust_inform'!E:E, "NOT FOUND")</f>
        <v>UNEMPLOYED</v>
      </c>
      <c r="E88">
        <f>_xlfn.XLOOKUP(B88, 'Cust_inform'!A:A, 'Cust_inform'!D:D)</f>
        <v>20</v>
      </c>
      <c r="F88" t="str">
        <f>_xlfn.XLOOKUP(E88,Postcodes!A:A, Postcodes!B:B, "NOT FOUND")</f>
        <v/>
      </c>
    </row>
    <row r="89" spans="1:6" x14ac:dyDescent="0.25">
      <c r="A89" s="1">
        <v>41815</v>
      </c>
      <c r="B89">
        <v>2</v>
      </c>
      <c r="C89">
        <v>269</v>
      </c>
      <c r="D89" t="str">
        <f>_xlfn.XLOOKUP(B89, 'Cust_inform'!A:A, 'Cust_inform'!E:E, "NOT FOUND")</f>
        <v>UNEMPLOYED</v>
      </c>
      <c r="E89">
        <f>_xlfn.XLOOKUP(B89, 'Cust_inform'!A:A, 'Cust_inform'!D:D)</f>
        <v>20</v>
      </c>
      <c r="F89" t="str">
        <f>_xlfn.XLOOKUP(E89,Postcodes!A:A, Postcodes!B:B, "NOT FOUND")</f>
        <v/>
      </c>
    </row>
    <row r="90" spans="1:6" x14ac:dyDescent="0.25">
      <c r="A90" s="1">
        <v>41618</v>
      </c>
      <c r="B90">
        <v>3</v>
      </c>
      <c r="C90">
        <v>340</v>
      </c>
      <c r="D90" t="str">
        <f>_xlfn.XLOOKUP(B90, 'Cust_inform'!A:A, 'Cust_inform'!E:E, "NOT FOUND")</f>
        <v>UNEMPLOYED</v>
      </c>
      <c r="E90">
        <f>_xlfn.XLOOKUP(B90, 'Cust_inform'!A:A, 'Cust_inform'!D:D)</f>
        <v>25</v>
      </c>
      <c r="F90" t="str">
        <f>_xlfn.XLOOKUP(E90,Postcodes!A:A, Postcodes!B:B, "NOT FOUND")</f>
        <v>N</v>
      </c>
    </row>
    <row r="91" spans="1:6" x14ac:dyDescent="0.25">
      <c r="A91" s="1">
        <v>41619</v>
      </c>
      <c r="B91">
        <v>3</v>
      </c>
      <c r="C91">
        <v>333</v>
      </c>
      <c r="D91" t="str">
        <f>_xlfn.XLOOKUP(B91, 'Cust_inform'!A:A, 'Cust_inform'!E:E, "NOT FOUND")</f>
        <v>UNEMPLOYED</v>
      </c>
      <c r="E91">
        <f>_xlfn.XLOOKUP(B91, 'Cust_inform'!A:A, 'Cust_inform'!D:D)</f>
        <v>25</v>
      </c>
      <c r="F91" t="str">
        <f>_xlfn.XLOOKUP(E91,Postcodes!A:A, Postcodes!B:B, "NOT FOUND")</f>
        <v>N</v>
      </c>
    </row>
    <row r="92" spans="1:6" x14ac:dyDescent="0.25">
      <c r="A92" s="1">
        <v>41619</v>
      </c>
      <c r="B92">
        <v>3</v>
      </c>
      <c r="C92">
        <v>343</v>
      </c>
      <c r="D92" t="str">
        <f>_xlfn.XLOOKUP(B92, 'Cust_inform'!A:A, 'Cust_inform'!E:E, "NOT FOUND")</f>
        <v>UNEMPLOYED</v>
      </c>
      <c r="E92">
        <f>_xlfn.XLOOKUP(B92, 'Cust_inform'!A:A, 'Cust_inform'!D:D)</f>
        <v>25</v>
      </c>
      <c r="F92" t="str">
        <f>_xlfn.XLOOKUP(E92,Postcodes!A:A, Postcodes!B:B, "NOT FOUND")</f>
        <v>N</v>
      </c>
    </row>
    <row r="93" spans="1:6" x14ac:dyDescent="0.25">
      <c r="A93" s="1">
        <v>41635</v>
      </c>
      <c r="B93">
        <v>3</v>
      </c>
      <c r="C93">
        <v>350</v>
      </c>
      <c r="D93" t="str">
        <f>_xlfn.XLOOKUP(B93, 'Cust_inform'!A:A, 'Cust_inform'!E:E, "NOT FOUND")</f>
        <v>UNEMPLOYED</v>
      </c>
      <c r="E93">
        <f>_xlfn.XLOOKUP(B93, 'Cust_inform'!A:A, 'Cust_inform'!D:D)</f>
        <v>25</v>
      </c>
      <c r="F93" t="str">
        <f>_xlfn.XLOOKUP(E93,Postcodes!A:A, Postcodes!B:B, "NOT FOUND")</f>
        <v>N</v>
      </c>
    </row>
    <row r="94" spans="1:6" x14ac:dyDescent="0.25">
      <c r="A94" s="1">
        <v>41636</v>
      </c>
      <c r="B94">
        <v>3</v>
      </c>
      <c r="C94">
        <v>331</v>
      </c>
      <c r="D94" t="str">
        <f>_xlfn.XLOOKUP(B94, 'Cust_inform'!A:A, 'Cust_inform'!E:E, "NOT FOUND")</f>
        <v>UNEMPLOYED</v>
      </c>
      <c r="E94">
        <f>_xlfn.XLOOKUP(B94, 'Cust_inform'!A:A, 'Cust_inform'!D:D)</f>
        <v>25</v>
      </c>
      <c r="F94" t="str">
        <f>_xlfn.XLOOKUP(E94,Postcodes!A:A, Postcodes!B:B, "NOT FOUND")</f>
        <v>N</v>
      </c>
    </row>
    <row r="95" spans="1:6" x14ac:dyDescent="0.25">
      <c r="A95" s="1">
        <v>41638</v>
      </c>
      <c r="B95">
        <v>3</v>
      </c>
      <c r="C95">
        <v>299</v>
      </c>
      <c r="D95" t="str">
        <f>_xlfn.XLOOKUP(B95, 'Cust_inform'!A:A, 'Cust_inform'!E:E, "NOT FOUND")</f>
        <v>UNEMPLOYED</v>
      </c>
      <c r="E95">
        <f>_xlfn.XLOOKUP(B95, 'Cust_inform'!A:A, 'Cust_inform'!D:D)</f>
        <v>25</v>
      </c>
      <c r="F95" t="str">
        <f>_xlfn.XLOOKUP(E95,Postcodes!A:A, Postcodes!B:B, "NOT FOUND")</f>
        <v>N</v>
      </c>
    </row>
    <row r="96" spans="1:6" x14ac:dyDescent="0.25">
      <c r="A96" s="1">
        <v>41638</v>
      </c>
      <c r="B96">
        <v>3</v>
      </c>
      <c r="C96">
        <v>338</v>
      </c>
      <c r="D96" t="str">
        <f>_xlfn.XLOOKUP(B96, 'Cust_inform'!A:A, 'Cust_inform'!E:E, "NOT FOUND")</f>
        <v>UNEMPLOYED</v>
      </c>
      <c r="E96">
        <f>_xlfn.XLOOKUP(B96, 'Cust_inform'!A:A, 'Cust_inform'!D:D)</f>
        <v>25</v>
      </c>
      <c r="F96" t="str">
        <f>_xlfn.XLOOKUP(E96,Postcodes!A:A, Postcodes!B:B, "NOT FOUND")</f>
        <v>N</v>
      </c>
    </row>
    <row r="97" spans="1:6" x14ac:dyDescent="0.25">
      <c r="A97" s="1">
        <v>41640</v>
      </c>
      <c r="B97">
        <v>3</v>
      </c>
      <c r="C97">
        <v>360</v>
      </c>
      <c r="D97" t="str">
        <f>_xlfn.XLOOKUP(B97, 'Cust_inform'!A:A, 'Cust_inform'!E:E, "NOT FOUND")</f>
        <v>UNEMPLOYED</v>
      </c>
      <c r="E97">
        <f>_xlfn.XLOOKUP(B97, 'Cust_inform'!A:A, 'Cust_inform'!D:D)</f>
        <v>25</v>
      </c>
      <c r="F97" t="str">
        <f>_xlfn.XLOOKUP(E97,Postcodes!A:A, Postcodes!B:B, "NOT FOUND")</f>
        <v>N</v>
      </c>
    </row>
    <row r="98" spans="1:6" x14ac:dyDescent="0.25">
      <c r="A98" s="1">
        <v>41642</v>
      </c>
      <c r="B98">
        <v>3</v>
      </c>
      <c r="C98">
        <v>316</v>
      </c>
      <c r="D98" t="str">
        <f>_xlfn.XLOOKUP(B98, 'Cust_inform'!A:A, 'Cust_inform'!E:E, "NOT FOUND")</f>
        <v>UNEMPLOYED</v>
      </c>
      <c r="E98">
        <f>_xlfn.XLOOKUP(B98, 'Cust_inform'!A:A, 'Cust_inform'!D:D)</f>
        <v>25</v>
      </c>
      <c r="F98" t="str">
        <f>_xlfn.XLOOKUP(E98,Postcodes!A:A, Postcodes!B:B, "NOT FOUND")</f>
        <v>N</v>
      </c>
    </row>
    <row r="99" spans="1:6" x14ac:dyDescent="0.25">
      <c r="A99" s="1">
        <v>41644</v>
      </c>
      <c r="B99">
        <v>3</v>
      </c>
      <c r="C99">
        <v>315</v>
      </c>
      <c r="D99" t="str">
        <f>_xlfn.XLOOKUP(B99, 'Cust_inform'!A:A, 'Cust_inform'!E:E, "NOT FOUND")</f>
        <v>UNEMPLOYED</v>
      </c>
      <c r="E99">
        <f>_xlfn.XLOOKUP(B99, 'Cust_inform'!A:A, 'Cust_inform'!D:D)</f>
        <v>25</v>
      </c>
      <c r="F99" t="str">
        <f>_xlfn.XLOOKUP(E99,Postcodes!A:A, Postcodes!B:B, "NOT FOUND")</f>
        <v>N</v>
      </c>
    </row>
    <row r="100" spans="1:6" x14ac:dyDescent="0.25">
      <c r="A100" s="1">
        <v>41644</v>
      </c>
      <c r="B100">
        <v>3</v>
      </c>
      <c r="C100">
        <v>284</v>
      </c>
      <c r="D100" t="str">
        <f>_xlfn.XLOOKUP(B100, 'Cust_inform'!A:A, 'Cust_inform'!E:E, "NOT FOUND")</f>
        <v>UNEMPLOYED</v>
      </c>
      <c r="E100">
        <f>_xlfn.XLOOKUP(B100, 'Cust_inform'!A:A, 'Cust_inform'!D:D)</f>
        <v>25</v>
      </c>
      <c r="F100" t="str">
        <f>_xlfn.XLOOKUP(E100,Postcodes!A:A, Postcodes!B:B, "NOT FOUND")</f>
        <v>N</v>
      </c>
    </row>
    <row r="101" spans="1:6" x14ac:dyDescent="0.25">
      <c r="A101" s="1">
        <v>41646</v>
      </c>
      <c r="B101">
        <v>3</v>
      </c>
      <c r="C101">
        <v>324</v>
      </c>
      <c r="D101" t="str">
        <f>_xlfn.XLOOKUP(B101, 'Cust_inform'!A:A, 'Cust_inform'!E:E, "NOT FOUND")</f>
        <v>UNEMPLOYED</v>
      </c>
      <c r="E101">
        <f>_xlfn.XLOOKUP(B101, 'Cust_inform'!A:A, 'Cust_inform'!D:D)</f>
        <v>25</v>
      </c>
      <c r="F101" t="str">
        <f>_xlfn.XLOOKUP(E101,Postcodes!A:A, Postcodes!B:B, "NOT FOUND")</f>
        <v>N</v>
      </c>
    </row>
    <row r="102" spans="1:6" x14ac:dyDescent="0.25">
      <c r="A102" s="1">
        <v>41647</v>
      </c>
      <c r="B102">
        <v>3</v>
      </c>
      <c r="C102">
        <v>320</v>
      </c>
      <c r="D102" t="str">
        <f>_xlfn.XLOOKUP(B102, 'Cust_inform'!A:A, 'Cust_inform'!E:E, "NOT FOUND")</f>
        <v>UNEMPLOYED</v>
      </c>
      <c r="E102">
        <f>_xlfn.XLOOKUP(B102, 'Cust_inform'!A:A, 'Cust_inform'!D:D)</f>
        <v>25</v>
      </c>
      <c r="F102" t="str">
        <f>_xlfn.XLOOKUP(E102,Postcodes!A:A, Postcodes!B:B, "NOT FOUND")</f>
        <v>N</v>
      </c>
    </row>
    <row r="103" spans="1:6" x14ac:dyDescent="0.25">
      <c r="A103" s="1">
        <v>41651</v>
      </c>
      <c r="B103">
        <v>3</v>
      </c>
      <c r="C103">
        <v>314</v>
      </c>
      <c r="D103" t="str">
        <f>_xlfn.XLOOKUP(B103, 'Cust_inform'!A:A, 'Cust_inform'!E:E, "NOT FOUND")</f>
        <v>UNEMPLOYED</v>
      </c>
      <c r="E103">
        <f>_xlfn.XLOOKUP(B103, 'Cust_inform'!A:A, 'Cust_inform'!D:D)</f>
        <v>25</v>
      </c>
      <c r="F103" t="str">
        <f>_xlfn.XLOOKUP(E103,Postcodes!A:A, Postcodes!B:B, "NOT FOUND")</f>
        <v>N</v>
      </c>
    </row>
    <row r="104" spans="1:6" x14ac:dyDescent="0.25">
      <c r="A104" s="1">
        <v>41653</v>
      </c>
      <c r="B104">
        <v>3</v>
      </c>
      <c r="C104">
        <v>338</v>
      </c>
      <c r="D104" t="str">
        <f>_xlfn.XLOOKUP(B104, 'Cust_inform'!A:A, 'Cust_inform'!E:E, "NOT FOUND")</f>
        <v>UNEMPLOYED</v>
      </c>
      <c r="E104">
        <f>_xlfn.XLOOKUP(B104, 'Cust_inform'!A:A, 'Cust_inform'!D:D)</f>
        <v>25</v>
      </c>
      <c r="F104" t="str">
        <f>_xlfn.XLOOKUP(E104,Postcodes!A:A, Postcodes!B:B, "NOT FOUND")</f>
        <v>N</v>
      </c>
    </row>
    <row r="105" spans="1:6" x14ac:dyDescent="0.25">
      <c r="A105" s="1">
        <v>41663</v>
      </c>
      <c r="B105">
        <v>3</v>
      </c>
      <c r="C105">
        <v>331</v>
      </c>
      <c r="D105" t="str">
        <f>_xlfn.XLOOKUP(B105, 'Cust_inform'!A:A, 'Cust_inform'!E:E, "NOT FOUND")</f>
        <v>UNEMPLOYED</v>
      </c>
      <c r="E105">
        <f>_xlfn.XLOOKUP(B105, 'Cust_inform'!A:A, 'Cust_inform'!D:D)</f>
        <v>25</v>
      </c>
      <c r="F105" t="str">
        <f>_xlfn.XLOOKUP(E105,Postcodes!A:A, Postcodes!B:B, "NOT FOUND")</f>
        <v>N</v>
      </c>
    </row>
    <row r="106" spans="1:6" x14ac:dyDescent="0.25">
      <c r="A106" s="1">
        <v>41666</v>
      </c>
      <c r="B106">
        <v>3</v>
      </c>
      <c r="C106">
        <v>281</v>
      </c>
      <c r="D106" t="str">
        <f>_xlfn.XLOOKUP(B106, 'Cust_inform'!A:A, 'Cust_inform'!E:E, "NOT FOUND")</f>
        <v>UNEMPLOYED</v>
      </c>
      <c r="E106">
        <f>_xlfn.XLOOKUP(B106, 'Cust_inform'!A:A, 'Cust_inform'!D:D)</f>
        <v>25</v>
      </c>
      <c r="F106" t="str">
        <f>_xlfn.XLOOKUP(E106,Postcodes!A:A, Postcodes!B:B, "NOT FOUND")</f>
        <v>N</v>
      </c>
    </row>
    <row r="107" spans="1:6" x14ac:dyDescent="0.25">
      <c r="A107" s="1">
        <v>41667</v>
      </c>
      <c r="B107">
        <v>3</v>
      </c>
      <c r="C107">
        <v>287</v>
      </c>
      <c r="D107" t="str">
        <f>_xlfn.XLOOKUP(B107, 'Cust_inform'!A:A, 'Cust_inform'!E:E, "NOT FOUND")</f>
        <v>UNEMPLOYED</v>
      </c>
      <c r="E107">
        <f>_xlfn.XLOOKUP(B107, 'Cust_inform'!A:A, 'Cust_inform'!D:D)</f>
        <v>25</v>
      </c>
      <c r="F107" t="str">
        <f>_xlfn.XLOOKUP(E107,Postcodes!A:A, Postcodes!B:B, "NOT FOUND")</f>
        <v>N</v>
      </c>
    </row>
    <row r="108" spans="1:6" x14ac:dyDescent="0.25">
      <c r="A108" s="1">
        <v>41668</v>
      </c>
      <c r="B108">
        <v>3</v>
      </c>
      <c r="C108">
        <v>322</v>
      </c>
      <c r="D108" t="str">
        <f>_xlfn.XLOOKUP(B108, 'Cust_inform'!A:A, 'Cust_inform'!E:E, "NOT FOUND")</f>
        <v>UNEMPLOYED</v>
      </c>
      <c r="E108">
        <f>_xlfn.XLOOKUP(B108, 'Cust_inform'!A:A, 'Cust_inform'!D:D)</f>
        <v>25</v>
      </c>
      <c r="F108" t="str">
        <f>_xlfn.XLOOKUP(E108,Postcodes!A:A, Postcodes!B:B, "NOT FOUND")</f>
        <v>N</v>
      </c>
    </row>
    <row r="109" spans="1:6" x14ac:dyDescent="0.25">
      <c r="A109" s="1">
        <v>41678</v>
      </c>
      <c r="B109">
        <v>3</v>
      </c>
      <c r="C109">
        <v>339</v>
      </c>
      <c r="D109" t="str">
        <f>_xlfn.XLOOKUP(B109, 'Cust_inform'!A:A, 'Cust_inform'!E:E, "NOT FOUND")</f>
        <v>UNEMPLOYED</v>
      </c>
      <c r="E109">
        <f>_xlfn.XLOOKUP(B109, 'Cust_inform'!A:A, 'Cust_inform'!D:D)</f>
        <v>25</v>
      </c>
      <c r="F109" t="str">
        <f>_xlfn.XLOOKUP(E109,Postcodes!A:A, Postcodes!B:B, "NOT FOUND")</f>
        <v>N</v>
      </c>
    </row>
    <row r="110" spans="1:6" x14ac:dyDescent="0.25">
      <c r="A110" s="1">
        <v>41687</v>
      </c>
      <c r="B110">
        <v>3</v>
      </c>
      <c r="C110">
        <v>272</v>
      </c>
      <c r="D110" t="str">
        <f>_xlfn.XLOOKUP(B110, 'Cust_inform'!A:A, 'Cust_inform'!E:E, "NOT FOUND")</f>
        <v>UNEMPLOYED</v>
      </c>
      <c r="E110">
        <f>_xlfn.XLOOKUP(B110, 'Cust_inform'!A:A, 'Cust_inform'!D:D)</f>
        <v>25</v>
      </c>
      <c r="F110" t="str">
        <f>_xlfn.XLOOKUP(E110,Postcodes!A:A, Postcodes!B:B, "NOT FOUND")</f>
        <v>N</v>
      </c>
    </row>
    <row r="111" spans="1:6" x14ac:dyDescent="0.25">
      <c r="A111" s="1">
        <v>41688</v>
      </c>
      <c r="B111">
        <v>3</v>
      </c>
      <c r="C111">
        <v>333</v>
      </c>
      <c r="D111" t="str">
        <f>_xlfn.XLOOKUP(B111, 'Cust_inform'!A:A, 'Cust_inform'!E:E, "NOT FOUND")</f>
        <v>UNEMPLOYED</v>
      </c>
      <c r="E111">
        <f>_xlfn.XLOOKUP(B111, 'Cust_inform'!A:A, 'Cust_inform'!D:D)</f>
        <v>25</v>
      </c>
      <c r="F111" t="str">
        <f>_xlfn.XLOOKUP(E111,Postcodes!A:A, Postcodes!B:B, "NOT FOUND")</f>
        <v>N</v>
      </c>
    </row>
    <row r="112" spans="1:6" x14ac:dyDescent="0.25">
      <c r="A112" s="1">
        <v>41690</v>
      </c>
      <c r="B112">
        <v>3</v>
      </c>
      <c r="C112">
        <v>313</v>
      </c>
      <c r="D112" t="str">
        <f>_xlfn.XLOOKUP(B112, 'Cust_inform'!A:A, 'Cust_inform'!E:E, "NOT FOUND")</f>
        <v>UNEMPLOYED</v>
      </c>
      <c r="E112">
        <f>_xlfn.XLOOKUP(B112, 'Cust_inform'!A:A, 'Cust_inform'!D:D)</f>
        <v>25</v>
      </c>
      <c r="F112" t="str">
        <f>_xlfn.XLOOKUP(E112,Postcodes!A:A, Postcodes!B:B, "NOT FOUND")</f>
        <v>N</v>
      </c>
    </row>
    <row r="113" spans="1:6" x14ac:dyDescent="0.25">
      <c r="A113" s="1">
        <v>41690</v>
      </c>
      <c r="B113">
        <v>3</v>
      </c>
      <c r="C113">
        <v>277</v>
      </c>
      <c r="D113" t="str">
        <f>_xlfn.XLOOKUP(B113, 'Cust_inform'!A:A, 'Cust_inform'!E:E, "NOT FOUND")</f>
        <v>UNEMPLOYED</v>
      </c>
      <c r="E113">
        <f>_xlfn.XLOOKUP(B113, 'Cust_inform'!A:A, 'Cust_inform'!D:D)</f>
        <v>25</v>
      </c>
      <c r="F113" t="str">
        <f>_xlfn.XLOOKUP(E113,Postcodes!A:A, Postcodes!B:B, "NOT FOUND")</f>
        <v>N</v>
      </c>
    </row>
    <row r="114" spans="1:6" x14ac:dyDescent="0.25">
      <c r="A114" s="1">
        <v>41690</v>
      </c>
      <c r="B114">
        <v>3</v>
      </c>
      <c r="C114">
        <v>338</v>
      </c>
      <c r="D114" t="str">
        <f>_xlfn.XLOOKUP(B114, 'Cust_inform'!A:A, 'Cust_inform'!E:E, "NOT FOUND")</f>
        <v>UNEMPLOYED</v>
      </c>
      <c r="E114">
        <f>_xlfn.XLOOKUP(B114, 'Cust_inform'!A:A, 'Cust_inform'!D:D)</f>
        <v>25</v>
      </c>
      <c r="F114" t="str">
        <f>_xlfn.XLOOKUP(E114,Postcodes!A:A, Postcodes!B:B, "NOT FOUND")</f>
        <v>N</v>
      </c>
    </row>
    <row r="115" spans="1:6" x14ac:dyDescent="0.25">
      <c r="A115" s="1">
        <v>41692</v>
      </c>
      <c r="B115">
        <v>3</v>
      </c>
      <c r="C115">
        <v>358</v>
      </c>
      <c r="D115" t="str">
        <f>_xlfn.XLOOKUP(B115, 'Cust_inform'!A:A, 'Cust_inform'!E:E, "NOT FOUND")</f>
        <v>UNEMPLOYED</v>
      </c>
      <c r="E115">
        <f>_xlfn.XLOOKUP(B115, 'Cust_inform'!A:A, 'Cust_inform'!D:D)</f>
        <v>25</v>
      </c>
      <c r="F115" t="str">
        <f>_xlfn.XLOOKUP(E115,Postcodes!A:A, Postcodes!B:B, "NOT FOUND")</f>
        <v>N</v>
      </c>
    </row>
    <row r="116" spans="1:6" x14ac:dyDescent="0.25">
      <c r="A116" s="1">
        <v>41693</v>
      </c>
      <c r="B116">
        <v>3</v>
      </c>
      <c r="C116">
        <v>312</v>
      </c>
      <c r="D116" t="str">
        <f>_xlfn.XLOOKUP(B116, 'Cust_inform'!A:A, 'Cust_inform'!E:E, "NOT FOUND")</f>
        <v>UNEMPLOYED</v>
      </c>
      <c r="E116">
        <f>_xlfn.XLOOKUP(B116, 'Cust_inform'!A:A, 'Cust_inform'!D:D)</f>
        <v>25</v>
      </c>
      <c r="F116" t="str">
        <f>_xlfn.XLOOKUP(E116,Postcodes!A:A, Postcodes!B:B, "NOT FOUND")</f>
        <v>N</v>
      </c>
    </row>
    <row r="117" spans="1:6" x14ac:dyDescent="0.25">
      <c r="A117" s="1">
        <v>41693</v>
      </c>
      <c r="B117">
        <v>3</v>
      </c>
      <c r="C117">
        <v>326</v>
      </c>
      <c r="D117" t="str">
        <f>_xlfn.XLOOKUP(B117, 'Cust_inform'!A:A, 'Cust_inform'!E:E, "NOT FOUND")</f>
        <v>UNEMPLOYED</v>
      </c>
      <c r="E117">
        <f>_xlfn.XLOOKUP(B117, 'Cust_inform'!A:A, 'Cust_inform'!D:D)</f>
        <v>25</v>
      </c>
      <c r="F117" t="str">
        <f>_xlfn.XLOOKUP(E117,Postcodes!A:A, Postcodes!B:B, "NOT FOUND")</f>
        <v>N</v>
      </c>
    </row>
    <row r="118" spans="1:6" x14ac:dyDescent="0.25">
      <c r="A118" s="1">
        <v>41695</v>
      </c>
      <c r="B118">
        <v>3</v>
      </c>
      <c r="C118">
        <v>335</v>
      </c>
      <c r="D118" t="str">
        <f>_xlfn.XLOOKUP(B118, 'Cust_inform'!A:A, 'Cust_inform'!E:E, "NOT FOUND")</f>
        <v>UNEMPLOYED</v>
      </c>
      <c r="E118">
        <f>_xlfn.XLOOKUP(B118, 'Cust_inform'!A:A, 'Cust_inform'!D:D)</f>
        <v>25</v>
      </c>
      <c r="F118" t="str">
        <f>_xlfn.XLOOKUP(E118,Postcodes!A:A, Postcodes!B:B, "NOT FOUND")</f>
        <v>N</v>
      </c>
    </row>
    <row r="119" spans="1:6" x14ac:dyDescent="0.25">
      <c r="A119" s="1">
        <v>41695</v>
      </c>
      <c r="B119">
        <v>3</v>
      </c>
      <c r="C119">
        <v>328</v>
      </c>
      <c r="D119" t="str">
        <f>_xlfn.XLOOKUP(B119, 'Cust_inform'!A:A, 'Cust_inform'!E:E, "NOT FOUND")</f>
        <v>UNEMPLOYED</v>
      </c>
      <c r="E119">
        <f>_xlfn.XLOOKUP(B119, 'Cust_inform'!A:A, 'Cust_inform'!D:D)</f>
        <v>25</v>
      </c>
      <c r="F119" t="str">
        <f>_xlfn.XLOOKUP(E119,Postcodes!A:A, Postcodes!B:B, "NOT FOUND")</f>
        <v>N</v>
      </c>
    </row>
    <row r="120" spans="1:6" x14ac:dyDescent="0.25">
      <c r="A120" s="1">
        <v>41696</v>
      </c>
      <c r="B120">
        <v>3</v>
      </c>
      <c r="C120">
        <v>292</v>
      </c>
      <c r="D120" t="str">
        <f>_xlfn.XLOOKUP(B120, 'Cust_inform'!A:A, 'Cust_inform'!E:E, "NOT FOUND")</f>
        <v>UNEMPLOYED</v>
      </c>
      <c r="E120">
        <f>_xlfn.XLOOKUP(B120, 'Cust_inform'!A:A, 'Cust_inform'!D:D)</f>
        <v>25</v>
      </c>
      <c r="F120" t="str">
        <f>_xlfn.XLOOKUP(E120,Postcodes!A:A, Postcodes!B:B, "NOT FOUND")</f>
        <v>N</v>
      </c>
    </row>
    <row r="121" spans="1:6" x14ac:dyDescent="0.25">
      <c r="A121" s="1">
        <v>41717</v>
      </c>
      <c r="B121">
        <v>3</v>
      </c>
      <c r="C121">
        <v>277</v>
      </c>
      <c r="D121" t="str">
        <f>_xlfn.XLOOKUP(B121, 'Cust_inform'!A:A, 'Cust_inform'!E:E, "NOT FOUND")</f>
        <v>UNEMPLOYED</v>
      </c>
      <c r="E121">
        <f>_xlfn.XLOOKUP(B121, 'Cust_inform'!A:A, 'Cust_inform'!D:D)</f>
        <v>25</v>
      </c>
      <c r="F121" t="str">
        <f>_xlfn.XLOOKUP(E121,Postcodes!A:A, Postcodes!B:B, "NOT FOUND")</f>
        <v>N</v>
      </c>
    </row>
    <row r="122" spans="1:6" x14ac:dyDescent="0.25">
      <c r="A122" s="1">
        <v>41723</v>
      </c>
      <c r="B122">
        <v>3</v>
      </c>
      <c r="C122">
        <v>331</v>
      </c>
      <c r="D122" t="str">
        <f>_xlfn.XLOOKUP(B122, 'Cust_inform'!A:A, 'Cust_inform'!E:E, "NOT FOUND")</f>
        <v>UNEMPLOYED</v>
      </c>
      <c r="E122">
        <f>_xlfn.XLOOKUP(B122, 'Cust_inform'!A:A, 'Cust_inform'!D:D)</f>
        <v>25</v>
      </c>
      <c r="F122" t="str">
        <f>_xlfn.XLOOKUP(E122,Postcodes!A:A, Postcodes!B:B, "NOT FOUND")</f>
        <v>N</v>
      </c>
    </row>
    <row r="123" spans="1:6" x14ac:dyDescent="0.25">
      <c r="A123" s="1">
        <v>41729</v>
      </c>
      <c r="B123">
        <v>3</v>
      </c>
      <c r="C123">
        <v>328</v>
      </c>
      <c r="D123" t="str">
        <f>_xlfn.XLOOKUP(B123, 'Cust_inform'!A:A, 'Cust_inform'!E:E, "NOT FOUND")</f>
        <v>UNEMPLOYED</v>
      </c>
      <c r="E123">
        <f>_xlfn.XLOOKUP(B123, 'Cust_inform'!A:A, 'Cust_inform'!D:D)</f>
        <v>25</v>
      </c>
      <c r="F123" t="str">
        <f>_xlfn.XLOOKUP(E123,Postcodes!A:A, Postcodes!B:B, "NOT FOUND")</f>
        <v>N</v>
      </c>
    </row>
    <row r="124" spans="1:6" x14ac:dyDescent="0.25">
      <c r="A124" s="1">
        <v>41731</v>
      </c>
      <c r="B124">
        <v>3</v>
      </c>
      <c r="C124">
        <v>272</v>
      </c>
      <c r="D124" t="str">
        <f>_xlfn.XLOOKUP(B124, 'Cust_inform'!A:A, 'Cust_inform'!E:E, "NOT FOUND")</f>
        <v>UNEMPLOYED</v>
      </c>
      <c r="E124">
        <f>_xlfn.XLOOKUP(B124, 'Cust_inform'!A:A, 'Cust_inform'!D:D)</f>
        <v>25</v>
      </c>
      <c r="F124" t="str">
        <f>_xlfn.XLOOKUP(E124,Postcodes!A:A, Postcodes!B:B, "NOT FOUND")</f>
        <v>N</v>
      </c>
    </row>
    <row r="125" spans="1:6" x14ac:dyDescent="0.25">
      <c r="A125" s="1">
        <v>41736</v>
      </c>
      <c r="B125">
        <v>3</v>
      </c>
      <c r="C125">
        <v>301</v>
      </c>
      <c r="D125" t="str">
        <f>_xlfn.XLOOKUP(B125, 'Cust_inform'!A:A, 'Cust_inform'!E:E, "NOT FOUND")</f>
        <v>UNEMPLOYED</v>
      </c>
      <c r="E125">
        <f>_xlfn.XLOOKUP(B125, 'Cust_inform'!A:A, 'Cust_inform'!D:D)</f>
        <v>25</v>
      </c>
      <c r="F125" t="str">
        <f>_xlfn.XLOOKUP(E125,Postcodes!A:A, Postcodes!B:B, "NOT FOUND")</f>
        <v>N</v>
      </c>
    </row>
    <row r="126" spans="1:6" x14ac:dyDescent="0.25">
      <c r="A126" s="1">
        <v>41738</v>
      </c>
      <c r="B126">
        <v>3</v>
      </c>
      <c r="C126">
        <v>338</v>
      </c>
      <c r="D126" t="str">
        <f>_xlfn.XLOOKUP(B126, 'Cust_inform'!A:A, 'Cust_inform'!E:E, "NOT FOUND")</f>
        <v>UNEMPLOYED</v>
      </c>
      <c r="E126">
        <f>_xlfn.XLOOKUP(B126, 'Cust_inform'!A:A, 'Cust_inform'!D:D)</f>
        <v>25</v>
      </c>
      <c r="F126" t="str">
        <f>_xlfn.XLOOKUP(E126,Postcodes!A:A, Postcodes!B:B, "NOT FOUND")</f>
        <v>N</v>
      </c>
    </row>
    <row r="127" spans="1:6" x14ac:dyDescent="0.25">
      <c r="A127" s="1">
        <v>41748</v>
      </c>
      <c r="B127">
        <v>3</v>
      </c>
      <c r="C127">
        <v>322</v>
      </c>
      <c r="D127" t="str">
        <f>_xlfn.XLOOKUP(B127, 'Cust_inform'!A:A, 'Cust_inform'!E:E, "NOT FOUND")</f>
        <v>UNEMPLOYED</v>
      </c>
      <c r="E127">
        <f>_xlfn.XLOOKUP(B127, 'Cust_inform'!A:A, 'Cust_inform'!D:D)</f>
        <v>25</v>
      </c>
      <c r="F127" t="str">
        <f>_xlfn.XLOOKUP(E127,Postcodes!A:A, Postcodes!B:B, "NOT FOUND")</f>
        <v>N</v>
      </c>
    </row>
    <row r="128" spans="1:6" x14ac:dyDescent="0.25">
      <c r="A128" s="1">
        <v>41756</v>
      </c>
      <c r="B128">
        <v>3</v>
      </c>
      <c r="C128">
        <v>357</v>
      </c>
      <c r="D128" t="str">
        <f>_xlfn.XLOOKUP(B128, 'Cust_inform'!A:A, 'Cust_inform'!E:E, "NOT FOUND")</f>
        <v>UNEMPLOYED</v>
      </c>
      <c r="E128">
        <f>_xlfn.XLOOKUP(B128, 'Cust_inform'!A:A, 'Cust_inform'!D:D)</f>
        <v>25</v>
      </c>
      <c r="F128" t="str">
        <f>_xlfn.XLOOKUP(E128,Postcodes!A:A, Postcodes!B:B, "NOT FOUND")</f>
        <v>N</v>
      </c>
    </row>
    <row r="129" spans="1:6" x14ac:dyDescent="0.25">
      <c r="A129" s="1">
        <v>41759</v>
      </c>
      <c r="B129">
        <v>3</v>
      </c>
      <c r="C129">
        <v>275</v>
      </c>
      <c r="D129" t="str">
        <f>_xlfn.XLOOKUP(B129, 'Cust_inform'!A:A, 'Cust_inform'!E:E, "NOT FOUND")</f>
        <v>UNEMPLOYED</v>
      </c>
      <c r="E129">
        <f>_xlfn.XLOOKUP(B129, 'Cust_inform'!A:A, 'Cust_inform'!D:D)</f>
        <v>25</v>
      </c>
      <c r="F129" t="str">
        <f>_xlfn.XLOOKUP(E129,Postcodes!A:A, Postcodes!B:B, "NOT FOUND")</f>
        <v>N</v>
      </c>
    </row>
    <row r="130" spans="1:6" x14ac:dyDescent="0.25">
      <c r="A130" s="1">
        <v>41766</v>
      </c>
      <c r="B130">
        <v>3</v>
      </c>
      <c r="C130">
        <v>319</v>
      </c>
      <c r="D130" t="str">
        <f>_xlfn.XLOOKUP(B130, 'Cust_inform'!A:A, 'Cust_inform'!E:E, "NOT FOUND")</f>
        <v>UNEMPLOYED</v>
      </c>
      <c r="E130">
        <f>_xlfn.XLOOKUP(B130, 'Cust_inform'!A:A, 'Cust_inform'!D:D)</f>
        <v>25</v>
      </c>
      <c r="F130" t="str">
        <f>_xlfn.XLOOKUP(E130,Postcodes!A:A, Postcodes!B:B, "NOT FOUND")</f>
        <v>N</v>
      </c>
    </row>
    <row r="131" spans="1:6" x14ac:dyDescent="0.25">
      <c r="A131" s="1">
        <v>41771</v>
      </c>
      <c r="B131">
        <v>3</v>
      </c>
      <c r="C131">
        <v>281</v>
      </c>
      <c r="D131" t="str">
        <f>_xlfn.XLOOKUP(B131, 'Cust_inform'!A:A, 'Cust_inform'!E:E, "NOT FOUND")</f>
        <v>UNEMPLOYED</v>
      </c>
      <c r="E131">
        <f>_xlfn.XLOOKUP(B131, 'Cust_inform'!A:A, 'Cust_inform'!D:D)</f>
        <v>25</v>
      </c>
      <c r="F131" t="str">
        <f>_xlfn.XLOOKUP(E131,Postcodes!A:A, Postcodes!B:B, "NOT FOUND")</f>
        <v>N</v>
      </c>
    </row>
    <row r="132" spans="1:6" x14ac:dyDescent="0.25">
      <c r="A132" s="1">
        <v>41780</v>
      </c>
      <c r="B132">
        <v>3</v>
      </c>
      <c r="C132">
        <v>273</v>
      </c>
      <c r="D132" t="str">
        <f>_xlfn.XLOOKUP(B132, 'Cust_inform'!A:A, 'Cust_inform'!E:E, "NOT FOUND")</f>
        <v>UNEMPLOYED</v>
      </c>
      <c r="E132">
        <f>_xlfn.XLOOKUP(B132, 'Cust_inform'!A:A, 'Cust_inform'!D:D)</f>
        <v>25</v>
      </c>
      <c r="F132" t="str">
        <f>_xlfn.XLOOKUP(E132,Postcodes!A:A, Postcodes!B:B, "NOT FOUND")</f>
        <v>N</v>
      </c>
    </row>
    <row r="133" spans="1:6" x14ac:dyDescent="0.25">
      <c r="A133" s="1">
        <v>41787</v>
      </c>
      <c r="B133">
        <v>3</v>
      </c>
      <c r="C133">
        <v>315</v>
      </c>
      <c r="D133" t="str">
        <f>_xlfn.XLOOKUP(B133, 'Cust_inform'!A:A, 'Cust_inform'!E:E, "NOT FOUND")</f>
        <v>UNEMPLOYED</v>
      </c>
      <c r="E133">
        <f>_xlfn.XLOOKUP(B133, 'Cust_inform'!A:A, 'Cust_inform'!D:D)</f>
        <v>25</v>
      </c>
      <c r="F133" t="str">
        <f>_xlfn.XLOOKUP(E133,Postcodes!A:A, Postcodes!B:B, "NOT FOUND")</f>
        <v>N</v>
      </c>
    </row>
    <row r="134" spans="1:6" x14ac:dyDescent="0.25">
      <c r="A134" s="1">
        <v>41792</v>
      </c>
      <c r="B134">
        <v>3</v>
      </c>
      <c r="C134">
        <v>341</v>
      </c>
      <c r="D134" t="str">
        <f>_xlfn.XLOOKUP(B134, 'Cust_inform'!A:A, 'Cust_inform'!E:E, "NOT FOUND")</f>
        <v>UNEMPLOYED</v>
      </c>
      <c r="E134">
        <f>_xlfn.XLOOKUP(B134, 'Cust_inform'!A:A, 'Cust_inform'!D:D)</f>
        <v>25</v>
      </c>
      <c r="F134" t="str">
        <f>_xlfn.XLOOKUP(E134,Postcodes!A:A, Postcodes!B:B, "NOT FOUND")</f>
        <v>N</v>
      </c>
    </row>
    <row r="135" spans="1:6" x14ac:dyDescent="0.25">
      <c r="A135" s="1">
        <v>41794</v>
      </c>
      <c r="B135">
        <v>3</v>
      </c>
      <c r="C135">
        <v>327</v>
      </c>
      <c r="D135" t="str">
        <f>_xlfn.XLOOKUP(B135, 'Cust_inform'!A:A, 'Cust_inform'!E:E, "NOT FOUND")</f>
        <v>UNEMPLOYED</v>
      </c>
      <c r="E135">
        <f>_xlfn.XLOOKUP(B135, 'Cust_inform'!A:A, 'Cust_inform'!D:D)</f>
        <v>25</v>
      </c>
      <c r="F135" t="str">
        <f>_xlfn.XLOOKUP(E135,Postcodes!A:A, Postcodes!B:B, "NOT FOUND")</f>
        <v>N</v>
      </c>
    </row>
    <row r="136" spans="1:6" x14ac:dyDescent="0.25">
      <c r="A136" s="1">
        <v>41796</v>
      </c>
      <c r="B136">
        <v>3</v>
      </c>
      <c r="C136">
        <v>325</v>
      </c>
      <c r="D136" t="str">
        <f>_xlfn.XLOOKUP(B136, 'Cust_inform'!A:A, 'Cust_inform'!E:E, "NOT FOUND")</f>
        <v>UNEMPLOYED</v>
      </c>
      <c r="E136">
        <f>_xlfn.XLOOKUP(B136, 'Cust_inform'!A:A, 'Cust_inform'!D:D)</f>
        <v>25</v>
      </c>
      <c r="F136" t="str">
        <f>_xlfn.XLOOKUP(E136,Postcodes!A:A, Postcodes!B:B, "NOT FOUND")</f>
        <v>N</v>
      </c>
    </row>
    <row r="137" spans="1:6" x14ac:dyDescent="0.25">
      <c r="A137" s="1">
        <v>41800</v>
      </c>
      <c r="B137">
        <v>3</v>
      </c>
      <c r="C137">
        <v>312</v>
      </c>
      <c r="D137" t="str">
        <f>_xlfn.XLOOKUP(B137, 'Cust_inform'!A:A, 'Cust_inform'!E:E, "NOT FOUND")</f>
        <v>UNEMPLOYED</v>
      </c>
      <c r="E137">
        <f>_xlfn.XLOOKUP(B137, 'Cust_inform'!A:A, 'Cust_inform'!D:D)</f>
        <v>25</v>
      </c>
      <c r="F137" t="str">
        <f>_xlfn.XLOOKUP(E137,Postcodes!A:A, Postcodes!B:B, "NOT FOUND")</f>
        <v>N</v>
      </c>
    </row>
    <row r="138" spans="1:6" x14ac:dyDescent="0.25">
      <c r="A138" s="1">
        <v>41806</v>
      </c>
      <c r="B138">
        <v>3</v>
      </c>
      <c r="C138">
        <v>303</v>
      </c>
      <c r="D138" t="str">
        <f>_xlfn.XLOOKUP(B138, 'Cust_inform'!A:A, 'Cust_inform'!E:E, "NOT FOUND")</f>
        <v>UNEMPLOYED</v>
      </c>
      <c r="E138">
        <f>_xlfn.XLOOKUP(B138, 'Cust_inform'!A:A, 'Cust_inform'!D:D)</f>
        <v>25</v>
      </c>
      <c r="F138" t="str">
        <f>_xlfn.XLOOKUP(E138,Postcodes!A:A, Postcodes!B:B, "NOT FOUND")</f>
        <v>N</v>
      </c>
    </row>
    <row r="139" spans="1:6" x14ac:dyDescent="0.25">
      <c r="A139" s="1">
        <v>41816</v>
      </c>
      <c r="B139">
        <v>3</v>
      </c>
      <c r="C139">
        <v>349</v>
      </c>
      <c r="D139" t="str">
        <f>_xlfn.XLOOKUP(B139, 'Cust_inform'!A:A, 'Cust_inform'!E:E, "NOT FOUND")</f>
        <v>UNEMPLOYED</v>
      </c>
      <c r="E139">
        <f>_xlfn.XLOOKUP(B139, 'Cust_inform'!A:A, 'Cust_inform'!D:D)</f>
        <v>25</v>
      </c>
      <c r="F139" t="str">
        <f>_xlfn.XLOOKUP(E139,Postcodes!A:A, Postcodes!B:B, "NOT FOUND")</f>
        <v>N</v>
      </c>
    </row>
    <row r="140" spans="1:6" x14ac:dyDescent="0.25">
      <c r="A140" s="1">
        <v>41627</v>
      </c>
      <c r="B140">
        <v>4</v>
      </c>
      <c r="C140">
        <v>298</v>
      </c>
      <c r="D140" t="str">
        <f>_xlfn.XLOOKUP(B140, 'Cust_inform'!A:A, 'Cust_inform'!E:E, "NOT FOUND")</f>
        <v>EMPLOYED</v>
      </c>
      <c r="E140">
        <f>_xlfn.XLOOKUP(B140, 'Cust_inform'!A:A, 'Cust_inform'!D:D)</f>
        <v>9</v>
      </c>
      <c r="F140" t="str">
        <f>_xlfn.XLOOKUP(E140,Postcodes!A:A, Postcodes!B:B, "NOT FOUND")</f>
        <v>W</v>
      </c>
    </row>
    <row r="141" spans="1:6" x14ac:dyDescent="0.25">
      <c r="A141" s="1">
        <v>41634</v>
      </c>
      <c r="B141">
        <v>4</v>
      </c>
      <c r="C141">
        <v>310</v>
      </c>
      <c r="D141" t="str">
        <f>_xlfn.XLOOKUP(B141, 'Cust_inform'!A:A, 'Cust_inform'!E:E, "NOT FOUND")</f>
        <v>EMPLOYED</v>
      </c>
      <c r="E141">
        <f>_xlfn.XLOOKUP(B141, 'Cust_inform'!A:A, 'Cust_inform'!D:D)</f>
        <v>9</v>
      </c>
      <c r="F141" t="str">
        <f>_xlfn.XLOOKUP(E141,Postcodes!A:A, Postcodes!B:B, "NOT FOUND")</f>
        <v>W</v>
      </c>
    </row>
    <row r="142" spans="1:6" x14ac:dyDescent="0.25">
      <c r="A142" s="1">
        <v>41643</v>
      </c>
      <c r="B142">
        <v>4</v>
      </c>
      <c r="C142">
        <v>301</v>
      </c>
      <c r="D142" t="str">
        <f>_xlfn.XLOOKUP(B142, 'Cust_inform'!A:A, 'Cust_inform'!E:E, "NOT FOUND")</f>
        <v>EMPLOYED</v>
      </c>
      <c r="E142">
        <f>_xlfn.XLOOKUP(B142, 'Cust_inform'!A:A, 'Cust_inform'!D:D)</f>
        <v>9</v>
      </c>
      <c r="F142" t="str">
        <f>_xlfn.XLOOKUP(E142,Postcodes!A:A, Postcodes!B:B, "NOT FOUND")</f>
        <v>W</v>
      </c>
    </row>
    <row r="143" spans="1:6" x14ac:dyDescent="0.25">
      <c r="A143" s="1">
        <v>41648</v>
      </c>
      <c r="B143">
        <v>4</v>
      </c>
      <c r="C143">
        <v>327</v>
      </c>
      <c r="D143" t="str">
        <f>_xlfn.XLOOKUP(B143, 'Cust_inform'!A:A, 'Cust_inform'!E:E, "NOT FOUND")</f>
        <v>EMPLOYED</v>
      </c>
      <c r="E143">
        <f>_xlfn.XLOOKUP(B143, 'Cust_inform'!A:A, 'Cust_inform'!D:D)</f>
        <v>9</v>
      </c>
      <c r="F143" t="str">
        <f>_xlfn.XLOOKUP(E143,Postcodes!A:A, Postcodes!B:B, "NOT FOUND")</f>
        <v>W</v>
      </c>
    </row>
    <row r="144" spans="1:6" x14ac:dyDescent="0.25">
      <c r="A144" s="1">
        <v>41672</v>
      </c>
      <c r="B144">
        <v>4</v>
      </c>
      <c r="C144">
        <v>348</v>
      </c>
      <c r="D144" t="str">
        <f>_xlfn.XLOOKUP(B144, 'Cust_inform'!A:A, 'Cust_inform'!E:E, "NOT FOUND")</f>
        <v>EMPLOYED</v>
      </c>
      <c r="E144">
        <f>_xlfn.XLOOKUP(B144, 'Cust_inform'!A:A, 'Cust_inform'!D:D)</f>
        <v>9</v>
      </c>
      <c r="F144" t="str">
        <f>_xlfn.XLOOKUP(E144,Postcodes!A:A, Postcodes!B:B, "NOT FOUND")</f>
        <v>W</v>
      </c>
    </row>
    <row r="145" spans="1:6" x14ac:dyDescent="0.25">
      <c r="A145" s="1">
        <v>41705</v>
      </c>
      <c r="B145">
        <v>4</v>
      </c>
      <c r="C145">
        <v>345</v>
      </c>
      <c r="D145" t="str">
        <f>_xlfn.XLOOKUP(B145, 'Cust_inform'!A:A, 'Cust_inform'!E:E, "NOT FOUND")</f>
        <v>EMPLOYED</v>
      </c>
      <c r="E145">
        <f>_xlfn.XLOOKUP(B145, 'Cust_inform'!A:A, 'Cust_inform'!D:D)</f>
        <v>9</v>
      </c>
      <c r="F145" t="str">
        <f>_xlfn.XLOOKUP(E145,Postcodes!A:A, Postcodes!B:B, "NOT FOUND")</f>
        <v>W</v>
      </c>
    </row>
    <row r="146" spans="1:6" x14ac:dyDescent="0.25">
      <c r="A146" s="1">
        <v>41719</v>
      </c>
      <c r="B146">
        <v>4</v>
      </c>
      <c r="C146">
        <v>312</v>
      </c>
      <c r="D146" t="str">
        <f>_xlfn.XLOOKUP(B146, 'Cust_inform'!A:A, 'Cust_inform'!E:E, "NOT FOUND")</f>
        <v>EMPLOYED</v>
      </c>
      <c r="E146">
        <f>_xlfn.XLOOKUP(B146, 'Cust_inform'!A:A, 'Cust_inform'!D:D)</f>
        <v>9</v>
      </c>
      <c r="F146" t="str">
        <f>_xlfn.XLOOKUP(E146,Postcodes!A:A, Postcodes!B:B, "NOT FOUND")</f>
        <v>W</v>
      </c>
    </row>
    <row r="147" spans="1:6" x14ac:dyDescent="0.25">
      <c r="A147" s="1">
        <v>41725</v>
      </c>
      <c r="B147">
        <v>4</v>
      </c>
      <c r="C147">
        <v>301</v>
      </c>
      <c r="D147" t="str">
        <f>_xlfn.XLOOKUP(B147, 'Cust_inform'!A:A, 'Cust_inform'!E:E, "NOT FOUND")</f>
        <v>EMPLOYED</v>
      </c>
      <c r="E147">
        <f>_xlfn.XLOOKUP(B147, 'Cust_inform'!A:A, 'Cust_inform'!D:D)</f>
        <v>9</v>
      </c>
      <c r="F147" t="str">
        <f>_xlfn.XLOOKUP(E147,Postcodes!A:A, Postcodes!B:B, "NOT FOUND")</f>
        <v>W</v>
      </c>
    </row>
    <row r="148" spans="1:6" x14ac:dyDescent="0.25">
      <c r="A148" s="1">
        <v>41742</v>
      </c>
      <c r="B148">
        <v>4</v>
      </c>
      <c r="C148">
        <v>314</v>
      </c>
      <c r="D148" t="str">
        <f>_xlfn.XLOOKUP(B148, 'Cust_inform'!A:A, 'Cust_inform'!E:E, "NOT FOUND")</f>
        <v>EMPLOYED</v>
      </c>
      <c r="E148">
        <f>_xlfn.XLOOKUP(B148, 'Cust_inform'!A:A, 'Cust_inform'!D:D)</f>
        <v>9</v>
      </c>
      <c r="F148" t="str">
        <f>_xlfn.XLOOKUP(E148,Postcodes!A:A, Postcodes!B:B, "NOT FOUND")</f>
        <v>W</v>
      </c>
    </row>
    <row r="149" spans="1:6" x14ac:dyDescent="0.25">
      <c r="A149" s="1">
        <v>41742</v>
      </c>
      <c r="B149">
        <v>4</v>
      </c>
      <c r="C149">
        <v>302</v>
      </c>
      <c r="D149" t="str">
        <f>_xlfn.XLOOKUP(B149, 'Cust_inform'!A:A, 'Cust_inform'!E:E, "NOT FOUND")</f>
        <v>EMPLOYED</v>
      </c>
      <c r="E149">
        <f>_xlfn.XLOOKUP(B149, 'Cust_inform'!A:A, 'Cust_inform'!D:D)</f>
        <v>9</v>
      </c>
      <c r="F149" t="str">
        <f>_xlfn.XLOOKUP(E149,Postcodes!A:A, Postcodes!B:B, "NOT FOUND")</f>
        <v>W</v>
      </c>
    </row>
    <row r="150" spans="1:6" x14ac:dyDescent="0.25">
      <c r="A150" s="1">
        <v>41748</v>
      </c>
      <c r="B150">
        <v>4</v>
      </c>
      <c r="C150">
        <v>313</v>
      </c>
      <c r="D150" t="str">
        <f>_xlfn.XLOOKUP(B150, 'Cust_inform'!A:A, 'Cust_inform'!E:E, "NOT FOUND")</f>
        <v>EMPLOYED</v>
      </c>
      <c r="E150">
        <f>_xlfn.XLOOKUP(B150, 'Cust_inform'!A:A, 'Cust_inform'!D:D)</f>
        <v>9</v>
      </c>
      <c r="F150" t="str">
        <f>_xlfn.XLOOKUP(E150,Postcodes!A:A, Postcodes!B:B, "NOT FOUND")</f>
        <v>W</v>
      </c>
    </row>
    <row r="151" spans="1:6" x14ac:dyDescent="0.25">
      <c r="A151" s="1">
        <v>41756</v>
      </c>
      <c r="B151">
        <v>4</v>
      </c>
      <c r="C151">
        <v>360</v>
      </c>
      <c r="D151" t="str">
        <f>_xlfn.XLOOKUP(B151, 'Cust_inform'!A:A, 'Cust_inform'!E:E, "NOT FOUND")</f>
        <v>EMPLOYED</v>
      </c>
      <c r="E151">
        <f>_xlfn.XLOOKUP(B151, 'Cust_inform'!A:A, 'Cust_inform'!D:D)</f>
        <v>9</v>
      </c>
      <c r="F151" t="str">
        <f>_xlfn.XLOOKUP(E151,Postcodes!A:A, Postcodes!B:B, "NOT FOUND")</f>
        <v>W</v>
      </c>
    </row>
    <row r="152" spans="1:6" x14ac:dyDescent="0.25">
      <c r="A152" s="1">
        <v>41767</v>
      </c>
      <c r="B152">
        <v>4</v>
      </c>
      <c r="C152">
        <v>333</v>
      </c>
      <c r="D152" t="str">
        <f>_xlfn.XLOOKUP(B152, 'Cust_inform'!A:A, 'Cust_inform'!E:E, "NOT FOUND")</f>
        <v>EMPLOYED</v>
      </c>
      <c r="E152">
        <f>_xlfn.XLOOKUP(B152, 'Cust_inform'!A:A, 'Cust_inform'!D:D)</f>
        <v>9</v>
      </c>
      <c r="F152" t="str">
        <f>_xlfn.XLOOKUP(E152,Postcodes!A:A, Postcodes!B:B, "NOT FOUND")</f>
        <v>W</v>
      </c>
    </row>
    <row r="153" spans="1:6" x14ac:dyDescent="0.25">
      <c r="A153" s="1">
        <v>41778</v>
      </c>
      <c r="B153">
        <v>4</v>
      </c>
      <c r="C153">
        <v>312</v>
      </c>
      <c r="D153" t="str">
        <f>_xlfn.XLOOKUP(B153, 'Cust_inform'!A:A, 'Cust_inform'!E:E, "NOT FOUND")</f>
        <v>EMPLOYED</v>
      </c>
      <c r="E153">
        <f>_xlfn.XLOOKUP(B153, 'Cust_inform'!A:A, 'Cust_inform'!D:D)</f>
        <v>9</v>
      </c>
      <c r="F153" t="str">
        <f>_xlfn.XLOOKUP(E153,Postcodes!A:A, Postcodes!B:B, "NOT FOUND")</f>
        <v>W</v>
      </c>
    </row>
    <row r="154" spans="1:6" x14ac:dyDescent="0.25">
      <c r="A154" s="1">
        <v>41785</v>
      </c>
      <c r="B154">
        <v>4</v>
      </c>
      <c r="C154">
        <v>312</v>
      </c>
      <c r="D154" t="str">
        <f>_xlfn.XLOOKUP(B154, 'Cust_inform'!A:A, 'Cust_inform'!E:E, "NOT FOUND")</f>
        <v>EMPLOYED</v>
      </c>
      <c r="E154">
        <f>_xlfn.XLOOKUP(B154, 'Cust_inform'!A:A, 'Cust_inform'!D:D)</f>
        <v>9</v>
      </c>
      <c r="F154" t="str">
        <f>_xlfn.XLOOKUP(E154,Postcodes!A:A, Postcodes!B:B, "NOT FOUND")</f>
        <v>W</v>
      </c>
    </row>
    <row r="155" spans="1:6" x14ac:dyDescent="0.25">
      <c r="A155" s="1">
        <v>41788</v>
      </c>
      <c r="B155">
        <v>4</v>
      </c>
      <c r="C155">
        <v>353</v>
      </c>
      <c r="D155" t="str">
        <f>_xlfn.XLOOKUP(B155, 'Cust_inform'!A:A, 'Cust_inform'!E:E, "NOT FOUND")</f>
        <v>EMPLOYED</v>
      </c>
      <c r="E155">
        <f>_xlfn.XLOOKUP(B155, 'Cust_inform'!A:A, 'Cust_inform'!D:D)</f>
        <v>9</v>
      </c>
      <c r="F155" t="str">
        <f>_xlfn.XLOOKUP(E155,Postcodes!A:A, Postcodes!B:B, "NOT FOUND")</f>
        <v>W</v>
      </c>
    </row>
    <row r="156" spans="1:6" x14ac:dyDescent="0.25">
      <c r="A156" s="1">
        <v>41622</v>
      </c>
      <c r="B156">
        <v>5</v>
      </c>
      <c r="C156">
        <v>461</v>
      </c>
      <c r="D156" t="str">
        <f>_xlfn.XLOOKUP(B156, 'Cust_inform'!A:A, 'Cust_inform'!E:E, "NOT FOUND")</f>
        <v>UNEMPLOYED</v>
      </c>
      <c r="E156">
        <f>_xlfn.XLOOKUP(B156, 'Cust_inform'!A:A, 'Cust_inform'!D:D)</f>
        <v>23</v>
      </c>
      <c r="F156" t="str">
        <f>_xlfn.XLOOKUP(E156,Postcodes!A:A, Postcodes!B:B, "NOT FOUND")</f>
        <v>N</v>
      </c>
    </row>
    <row r="157" spans="1:6" x14ac:dyDescent="0.25">
      <c r="A157" s="1">
        <v>41623</v>
      </c>
      <c r="B157">
        <v>5</v>
      </c>
      <c r="C157">
        <v>503</v>
      </c>
      <c r="D157" t="str">
        <f>_xlfn.XLOOKUP(B157, 'Cust_inform'!A:A, 'Cust_inform'!E:E, "NOT FOUND")</f>
        <v>UNEMPLOYED</v>
      </c>
      <c r="E157">
        <f>_xlfn.XLOOKUP(B157, 'Cust_inform'!A:A, 'Cust_inform'!D:D)</f>
        <v>23</v>
      </c>
      <c r="F157" t="str">
        <f>_xlfn.XLOOKUP(E157,Postcodes!A:A, Postcodes!B:B, "NOT FOUND")</f>
        <v>N</v>
      </c>
    </row>
    <row r="158" spans="1:6" x14ac:dyDescent="0.25">
      <c r="A158" s="1">
        <v>41628</v>
      </c>
      <c r="B158">
        <v>5</v>
      </c>
      <c r="C158">
        <v>503</v>
      </c>
      <c r="D158" t="str">
        <f>_xlfn.XLOOKUP(B158, 'Cust_inform'!A:A, 'Cust_inform'!E:E, "NOT FOUND")</f>
        <v>UNEMPLOYED</v>
      </c>
      <c r="E158">
        <f>_xlfn.XLOOKUP(B158, 'Cust_inform'!A:A, 'Cust_inform'!D:D)</f>
        <v>23</v>
      </c>
      <c r="F158" t="str">
        <f>_xlfn.XLOOKUP(E158,Postcodes!A:A, Postcodes!B:B, "NOT FOUND")</f>
        <v>N</v>
      </c>
    </row>
    <row r="159" spans="1:6" x14ac:dyDescent="0.25">
      <c r="A159" s="1">
        <v>41632</v>
      </c>
      <c r="B159">
        <v>5</v>
      </c>
      <c r="C159">
        <v>427</v>
      </c>
      <c r="D159" t="str">
        <f>_xlfn.XLOOKUP(B159, 'Cust_inform'!A:A, 'Cust_inform'!E:E, "NOT FOUND")</f>
        <v>UNEMPLOYED</v>
      </c>
      <c r="E159">
        <f>_xlfn.XLOOKUP(B159, 'Cust_inform'!A:A, 'Cust_inform'!D:D)</f>
        <v>23</v>
      </c>
      <c r="F159" t="str">
        <f>_xlfn.XLOOKUP(E159,Postcodes!A:A, Postcodes!B:B, "NOT FOUND")</f>
        <v>N</v>
      </c>
    </row>
    <row r="160" spans="1:6" x14ac:dyDescent="0.25">
      <c r="A160" s="1">
        <v>41636</v>
      </c>
      <c r="B160">
        <v>5</v>
      </c>
      <c r="C160">
        <v>446</v>
      </c>
      <c r="D160" t="str">
        <f>_xlfn.XLOOKUP(B160, 'Cust_inform'!A:A, 'Cust_inform'!E:E, "NOT FOUND")</f>
        <v>UNEMPLOYED</v>
      </c>
      <c r="E160">
        <f>_xlfn.XLOOKUP(B160, 'Cust_inform'!A:A, 'Cust_inform'!D:D)</f>
        <v>23</v>
      </c>
      <c r="F160" t="str">
        <f>_xlfn.XLOOKUP(E160,Postcodes!A:A, Postcodes!B:B, "NOT FOUND")</f>
        <v>N</v>
      </c>
    </row>
    <row r="161" spans="1:6" x14ac:dyDescent="0.25">
      <c r="A161" s="1">
        <v>41639</v>
      </c>
      <c r="B161">
        <v>5</v>
      </c>
      <c r="C161">
        <v>492</v>
      </c>
      <c r="D161" t="str">
        <f>_xlfn.XLOOKUP(B161, 'Cust_inform'!A:A, 'Cust_inform'!E:E, "NOT FOUND")</f>
        <v>UNEMPLOYED</v>
      </c>
      <c r="E161">
        <f>_xlfn.XLOOKUP(B161, 'Cust_inform'!A:A, 'Cust_inform'!D:D)</f>
        <v>23</v>
      </c>
      <c r="F161" t="str">
        <f>_xlfn.XLOOKUP(E161,Postcodes!A:A, Postcodes!B:B, "NOT FOUND")</f>
        <v>N</v>
      </c>
    </row>
    <row r="162" spans="1:6" x14ac:dyDescent="0.25">
      <c r="A162" s="1">
        <v>41641</v>
      </c>
      <c r="B162">
        <v>5</v>
      </c>
      <c r="C162">
        <v>442</v>
      </c>
      <c r="D162" t="str">
        <f>_xlfn.XLOOKUP(B162, 'Cust_inform'!A:A, 'Cust_inform'!E:E, "NOT FOUND")</f>
        <v>UNEMPLOYED</v>
      </c>
      <c r="E162">
        <f>_xlfn.XLOOKUP(B162, 'Cust_inform'!A:A, 'Cust_inform'!D:D)</f>
        <v>23</v>
      </c>
      <c r="F162" t="str">
        <f>_xlfn.XLOOKUP(E162,Postcodes!A:A, Postcodes!B:B, "NOT FOUND")</f>
        <v>N</v>
      </c>
    </row>
    <row r="163" spans="1:6" x14ac:dyDescent="0.25">
      <c r="A163" s="1">
        <v>41642</v>
      </c>
      <c r="B163">
        <v>5</v>
      </c>
      <c r="C163">
        <v>544</v>
      </c>
      <c r="D163" t="str">
        <f>_xlfn.XLOOKUP(B163, 'Cust_inform'!A:A, 'Cust_inform'!E:E, "NOT FOUND")</f>
        <v>UNEMPLOYED</v>
      </c>
      <c r="E163">
        <f>_xlfn.XLOOKUP(B163, 'Cust_inform'!A:A, 'Cust_inform'!D:D)</f>
        <v>23</v>
      </c>
      <c r="F163" t="str">
        <f>_xlfn.XLOOKUP(E163,Postcodes!A:A, Postcodes!B:B, "NOT FOUND")</f>
        <v>N</v>
      </c>
    </row>
    <row r="164" spans="1:6" x14ac:dyDescent="0.25">
      <c r="A164" s="1">
        <v>41645</v>
      </c>
      <c r="B164">
        <v>5</v>
      </c>
      <c r="C164">
        <v>466</v>
      </c>
      <c r="D164" t="str">
        <f>_xlfn.XLOOKUP(B164, 'Cust_inform'!A:A, 'Cust_inform'!E:E, "NOT FOUND")</f>
        <v>UNEMPLOYED</v>
      </c>
      <c r="E164">
        <f>_xlfn.XLOOKUP(B164, 'Cust_inform'!A:A, 'Cust_inform'!D:D)</f>
        <v>23</v>
      </c>
      <c r="F164" t="str">
        <f>_xlfn.XLOOKUP(E164,Postcodes!A:A, Postcodes!B:B, "NOT FOUND")</f>
        <v>N</v>
      </c>
    </row>
    <row r="165" spans="1:6" x14ac:dyDescent="0.25">
      <c r="A165" s="1">
        <v>41647</v>
      </c>
      <c r="B165">
        <v>5</v>
      </c>
      <c r="C165">
        <v>495</v>
      </c>
      <c r="D165" t="str">
        <f>_xlfn.XLOOKUP(B165, 'Cust_inform'!A:A, 'Cust_inform'!E:E, "NOT FOUND")</f>
        <v>UNEMPLOYED</v>
      </c>
      <c r="E165">
        <f>_xlfn.XLOOKUP(B165, 'Cust_inform'!A:A, 'Cust_inform'!D:D)</f>
        <v>23</v>
      </c>
      <c r="F165" t="str">
        <f>_xlfn.XLOOKUP(E165,Postcodes!A:A, Postcodes!B:B, "NOT FOUND")</f>
        <v>N</v>
      </c>
    </row>
    <row r="166" spans="1:6" x14ac:dyDescent="0.25">
      <c r="A166" s="1">
        <v>41662</v>
      </c>
      <c r="B166">
        <v>5</v>
      </c>
      <c r="C166">
        <v>471</v>
      </c>
      <c r="D166" t="str">
        <f>_xlfn.XLOOKUP(B166, 'Cust_inform'!A:A, 'Cust_inform'!E:E, "NOT FOUND")</f>
        <v>UNEMPLOYED</v>
      </c>
      <c r="E166">
        <f>_xlfn.XLOOKUP(B166, 'Cust_inform'!A:A, 'Cust_inform'!D:D)</f>
        <v>23</v>
      </c>
      <c r="F166" t="str">
        <f>_xlfn.XLOOKUP(E166,Postcodes!A:A, Postcodes!B:B, "NOT FOUND")</f>
        <v>N</v>
      </c>
    </row>
    <row r="167" spans="1:6" x14ac:dyDescent="0.25">
      <c r="A167" s="1">
        <v>41663</v>
      </c>
      <c r="B167">
        <v>5</v>
      </c>
      <c r="C167">
        <v>454</v>
      </c>
      <c r="D167" t="str">
        <f>_xlfn.XLOOKUP(B167, 'Cust_inform'!A:A, 'Cust_inform'!E:E, "NOT FOUND")</f>
        <v>UNEMPLOYED</v>
      </c>
      <c r="E167">
        <f>_xlfn.XLOOKUP(B167, 'Cust_inform'!A:A, 'Cust_inform'!D:D)</f>
        <v>23</v>
      </c>
      <c r="F167" t="str">
        <f>_xlfn.XLOOKUP(E167,Postcodes!A:A, Postcodes!B:B, "NOT FOUND")</f>
        <v>N</v>
      </c>
    </row>
    <row r="168" spans="1:6" x14ac:dyDescent="0.25">
      <c r="A168" s="1">
        <v>41665</v>
      </c>
      <c r="B168">
        <v>5</v>
      </c>
      <c r="C168">
        <v>438</v>
      </c>
      <c r="D168" t="str">
        <f>_xlfn.XLOOKUP(B168, 'Cust_inform'!A:A, 'Cust_inform'!E:E, "NOT FOUND")</f>
        <v>UNEMPLOYED</v>
      </c>
      <c r="E168">
        <f>_xlfn.XLOOKUP(B168, 'Cust_inform'!A:A, 'Cust_inform'!D:D)</f>
        <v>23</v>
      </c>
      <c r="F168" t="str">
        <f>_xlfn.XLOOKUP(E168,Postcodes!A:A, Postcodes!B:B, "NOT FOUND")</f>
        <v>N</v>
      </c>
    </row>
    <row r="169" spans="1:6" x14ac:dyDescent="0.25">
      <c r="A169" s="1">
        <v>41669</v>
      </c>
      <c r="B169">
        <v>5</v>
      </c>
      <c r="C169">
        <v>535</v>
      </c>
      <c r="D169" t="str">
        <f>_xlfn.XLOOKUP(B169, 'Cust_inform'!A:A, 'Cust_inform'!E:E, "NOT FOUND")</f>
        <v>UNEMPLOYED</v>
      </c>
      <c r="E169">
        <f>_xlfn.XLOOKUP(B169, 'Cust_inform'!A:A, 'Cust_inform'!D:D)</f>
        <v>23</v>
      </c>
      <c r="F169" t="str">
        <f>_xlfn.XLOOKUP(E169,Postcodes!A:A, Postcodes!B:B, "NOT FOUND")</f>
        <v>N</v>
      </c>
    </row>
    <row r="170" spans="1:6" x14ac:dyDescent="0.25">
      <c r="A170" s="1">
        <v>41671</v>
      </c>
      <c r="B170">
        <v>5</v>
      </c>
      <c r="D170" t="str">
        <f>_xlfn.XLOOKUP(B170, 'Cust_inform'!A:A, 'Cust_inform'!E:E, "NOT FOUND")</f>
        <v>UNEMPLOYED</v>
      </c>
      <c r="E170">
        <f>_xlfn.XLOOKUP(B170, 'Cust_inform'!A:A, 'Cust_inform'!D:D)</f>
        <v>23</v>
      </c>
      <c r="F170" t="str">
        <f>_xlfn.XLOOKUP(E170,Postcodes!A:A, Postcodes!B:B, "NOT FOUND")</f>
        <v>N</v>
      </c>
    </row>
    <row r="171" spans="1:6" x14ac:dyDescent="0.25">
      <c r="A171" s="1">
        <v>41673</v>
      </c>
      <c r="B171">
        <v>5</v>
      </c>
      <c r="C171">
        <v>538</v>
      </c>
      <c r="D171" t="str">
        <f>_xlfn.XLOOKUP(B171, 'Cust_inform'!A:A, 'Cust_inform'!E:E, "NOT FOUND")</f>
        <v>UNEMPLOYED</v>
      </c>
      <c r="E171">
        <f>_xlfn.XLOOKUP(B171, 'Cust_inform'!A:A, 'Cust_inform'!D:D)</f>
        <v>23</v>
      </c>
      <c r="F171" t="str">
        <f>_xlfn.XLOOKUP(E171,Postcodes!A:A, Postcodes!B:B, "NOT FOUND")</f>
        <v>N</v>
      </c>
    </row>
    <row r="172" spans="1:6" x14ac:dyDescent="0.25">
      <c r="A172" s="1">
        <v>41674</v>
      </c>
      <c r="B172">
        <v>5</v>
      </c>
      <c r="C172">
        <v>507</v>
      </c>
      <c r="D172" t="str">
        <f>_xlfn.XLOOKUP(B172, 'Cust_inform'!A:A, 'Cust_inform'!E:E, "NOT FOUND")</f>
        <v>UNEMPLOYED</v>
      </c>
      <c r="E172">
        <f>_xlfn.XLOOKUP(B172, 'Cust_inform'!A:A, 'Cust_inform'!D:D)</f>
        <v>23</v>
      </c>
      <c r="F172" t="str">
        <f>_xlfn.XLOOKUP(E172,Postcodes!A:A, Postcodes!B:B, "NOT FOUND")</f>
        <v>N</v>
      </c>
    </row>
    <row r="173" spans="1:6" x14ac:dyDescent="0.25">
      <c r="A173" s="1">
        <v>41675</v>
      </c>
      <c r="B173">
        <v>5</v>
      </c>
      <c r="C173">
        <v>417</v>
      </c>
      <c r="D173" t="str">
        <f>_xlfn.XLOOKUP(B173, 'Cust_inform'!A:A, 'Cust_inform'!E:E, "NOT FOUND")</f>
        <v>UNEMPLOYED</v>
      </c>
      <c r="E173">
        <f>_xlfn.XLOOKUP(B173, 'Cust_inform'!A:A, 'Cust_inform'!D:D)</f>
        <v>23</v>
      </c>
      <c r="F173" t="str">
        <f>_xlfn.XLOOKUP(E173,Postcodes!A:A, Postcodes!B:B, "NOT FOUND")</f>
        <v>N</v>
      </c>
    </row>
    <row r="174" spans="1:6" x14ac:dyDescent="0.25">
      <c r="A174" s="1">
        <v>41678</v>
      </c>
      <c r="B174">
        <v>5</v>
      </c>
      <c r="C174">
        <v>461</v>
      </c>
      <c r="D174" t="str">
        <f>_xlfn.XLOOKUP(B174, 'Cust_inform'!A:A, 'Cust_inform'!E:E, "NOT FOUND")</f>
        <v>UNEMPLOYED</v>
      </c>
      <c r="E174">
        <f>_xlfn.XLOOKUP(B174, 'Cust_inform'!A:A, 'Cust_inform'!D:D)</f>
        <v>23</v>
      </c>
      <c r="F174" t="str">
        <f>_xlfn.XLOOKUP(E174,Postcodes!A:A, Postcodes!B:B, "NOT FOUND")</f>
        <v>N</v>
      </c>
    </row>
    <row r="175" spans="1:6" x14ac:dyDescent="0.25">
      <c r="A175" s="1">
        <v>41684</v>
      </c>
      <c r="B175">
        <v>5</v>
      </c>
      <c r="C175">
        <v>492</v>
      </c>
      <c r="D175" t="str">
        <f>_xlfn.XLOOKUP(B175, 'Cust_inform'!A:A, 'Cust_inform'!E:E, "NOT FOUND")</f>
        <v>UNEMPLOYED</v>
      </c>
      <c r="E175">
        <f>_xlfn.XLOOKUP(B175, 'Cust_inform'!A:A, 'Cust_inform'!D:D)</f>
        <v>23</v>
      </c>
      <c r="F175" t="str">
        <f>_xlfn.XLOOKUP(E175,Postcodes!A:A, Postcodes!B:B, "NOT FOUND")</f>
        <v>N</v>
      </c>
    </row>
    <row r="176" spans="1:6" x14ac:dyDescent="0.25">
      <c r="A176" s="1">
        <v>41686</v>
      </c>
      <c r="B176">
        <v>5</v>
      </c>
      <c r="C176">
        <v>491</v>
      </c>
      <c r="D176" t="str">
        <f>_xlfn.XLOOKUP(B176, 'Cust_inform'!A:A, 'Cust_inform'!E:E, "NOT FOUND")</f>
        <v>UNEMPLOYED</v>
      </c>
      <c r="E176">
        <f>_xlfn.XLOOKUP(B176, 'Cust_inform'!A:A, 'Cust_inform'!D:D)</f>
        <v>23</v>
      </c>
      <c r="F176" t="str">
        <f>_xlfn.XLOOKUP(E176,Postcodes!A:A, Postcodes!B:B, "NOT FOUND")</f>
        <v>N</v>
      </c>
    </row>
    <row r="177" spans="1:6" x14ac:dyDescent="0.25">
      <c r="A177" s="1">
        <v>41693</v>
      </c>
      <c r="B177">
        <v>5</v>
      </c>
      <c r="C177">
        <v>529</v>
      </c>
      <c r="D177" t="str">
        <f>_xlfn.XLOOKUP(B177, 'Cust_inform'!A:A, 'Cust_inform'!E:E, "NOT FOUND")</f>
        <v>UNEMPLOYED</v>
      </c>
      <c r="E177">
        <f>_xlfn.XLOOKUP(B177, 'Cust_inform'!A:A, 'Cust_inform'!D:D)</f>
        <v>23</v>
      </c>
      <c r="F177" t="str">
        <f>_xlfn.XLOOKUP(E177,Postcodes!A:A, Postcodes!B:B, "NOT FOUND")</f>
        <v>N</v>
      </c>
    </row>
    <row r="178" spans="1:6" x14ac:dyDescent="0.25">
      <c r="A178" s="1">
        <v>41693</v>
      </c>
      <c r="B178">
        <v>5</v>
      </c>
      <c r="C178">
        <v>457</v>
      </c>
      <c r="D178" t="str">
        <f>_xlfn.XLOOKUP(B178, 'Cust_inform'!A:A, 'Cust_inform'!E:E, "NOT FOUND")</f>
        <v>UNEMPLOYED</v>
      </c>
      <c r="E178">
        <f>_xlfn.XLOOKUP(B178, 'Cust_inform'!A:A, 'Cust_inform'!D:D)</f>
        <v>23</v>
      </c>
      <c r="F178" t="str">
        <f>_xlfn.XLOOKUP(E178,Postcodes!A:A, Postcodes!B:B, "NOT FOUND")</f>
        <v>N</v>
      </c>
    </row>
    <row r="179" spans="1:6" x14ac:dyDescent="0.25">
      <c r="A179" s="1">
        <v>41703</v>
      </c>
      <c r="B179">
        <v>5</v>
      </c>
      <c r="C179">
        <v>428</v>
      </c>
      <c r="D179" t="str">
        <f>_xlfn.XLOOKUP(B179, 'Cust_inform'!A:A, 'Cust_inform'!E:E, "NOT FOUND")</f>
        <v>UNEMPLOYED</v>
      </c>
      <c r="E179">
        <f>_xlfn.XLOOKUP(B179, 'Cust_inform'!A:A, 'Cust_inform'!D:D)</f>
        <v>23</v>
      </c>
      <c r="F179" t="str">
        <f>_xlfn.XLOOKUP(E179,Postcodes!A:A, Postcodes!B:B, "NOT FOUND")</f>
        <v>N</v>
      </c>
    </row>
    <row r="180" spans="1:6" x14ac:dyDescent="0.25">
      <c r="A180" s="1">
        <v>41704</v>
      </c>
      <c r="B180">
        <v>5</v>
      </c>
      <c r="C180">
        <v>503</v>
      </c>
      <c r="D180" t="str">
        <f>_xlfn.XLOOKUP(B180, 'Cust_inform'!A:A, 'Cust_inform'!E:E, "NOT FOUND")</f>
        <v>UNEMPLOYED</v>
      </c>
      <c r="E180">
        <f>_xlfn.XLOOKUP(B180, 'Cust_inform'!A:A, 'Cust_inform'!D:D)</f>
        <v>23</v>
      </c>
      <c r="F180" t="str">
        <f>_xlfn.XLOOKUP(E180,Postcodes!A:A, Postcodes!B:B, "NOT FOUND")</f>
        <v>N</v>
      </c>
    </row>
    <row r="181" spans="1:6" x14ac:dyDescent="0.25">
      <c r="A181" s="1">
        <v>41707</v>
      </c>
      <c r="B181">
        <v>5</v>
      </c>
      <c r="C181">
        <v>495</v>
      </c>
      <c r="D181" t="str">
        <f>_xlfn.XLOOKUP(B181, 'Cust_inform'!A:A, 'Cust_inform'!E:E, "NOT FOUND")</f>
        <v>UNEMPLOYED</v>
      </c>
      <c r="E181">
        <f>_xlfn.XLOOKUP(B181, 'Cust_inform'!A:A, 'Cust_inform'!D:D)</f>
        <v>23</v>
      </c>
      <c r="F181" t="str">
        <f>_xlfn.XLOOKUP(E181,Postcodes!A:A, Postcodes!B:B, "NOT FOUND")</f>
        <v>N</v>
      </c>
    </row>
    <row r="182" spans="1:6" x14ac:dyDescent="0.25">
      <c r="A182" s="1">
        <v>41714</v>
      </c>
      <c r="B182">
        <v>5</v>
      </c>
      <c r="C182">
        <v>496</v>
      </c>
      <c r="D182" t="str">
        <f>_xlfn.XLOOKUP(B182, 'Cust_inform'!A:A, 'Cust_inform'!E:E, "NOT FOUND")</f>
        <v>UNEMPLOYED</v>
      </c>
      <c r="E182">
        <f>_xlfn.XLOOKUP(B182, 'Cust_inform'!A:A, 'Cust_inform'!D:D)</f>
        <v>23</v>
      </c>
      <c r="F182" t="str">
        <f>_xlfn.XLOOKUP(E182,Postcodes!A:A, Postcodes!B:B, "NOT FOUND")</f>
        <v>N</v>
      </c>
    </row>
    <row r="183" spans="1:6" x14ac:dyDescent="0.25">
      <c r="A183" s="1">
        <v>41715</v>
      </c>
      <c r="B183">
        <v>5</v>
      </c>
      <c r="C183">
        <v>492</v>
      </c>
      <c r="D183" t="str">
        <f>_xlfn.XLOOKUP(B183, 'Cust_inform'!A:A, 'Cust_inform'!E:E, "NOT FOUND")</f>
        <v>UNEMPLOYED</v>
      </c>
      <c r="E183">
        <f>_xlfn.XLOOKUP(B183, 'Cust_inform'!A:A, 'Cust_inform'!D:D)</f>
        <v>23</v>
      </c>
      <c r="F183" t="str">
        <f>_xlfn.XLOOKUP(E183,Postcodes!A:A, Postcodes!B:B, "NOT FOUND")</f>
        <v>N</v>
      </c>
    </row>
    <row r="184" spans="1:6" x14ac:dyDescent="0.25">
      <c r="A184" s="1">
        <v>41723</v>
      </c>
      <c r="B184">
        <v>5</v>
      </c>
      <c r="C184">
        <v>448</v>
      </c>
      <c r="D184" t="str">
        <f>_xlfn.XLOOKUP(B184, 'Cust_inform'!A:A, 'Cust_inform'!E:E, "NOT FOUND")</f>
        <v>UNEMPLOYED</v>
      </c>
      <c r="E184">
        <f>_xlfn.XLOOKUP(B184, 'Cust_inform'!A:A, 'Cust_inform'!D:D)</f>
        <v>23</v>
      </c>
      <c r="F184" t="str">
        <f>_xlfn.XLOOKUP(E184,Postcodes!A:A, Postcodes!B:B, "NOT FOUND")</f>
        <v>N</v>
      </c>
    </row>
    <row r="185" spans="1:6" x14ac:dyDescent="0.25">
      <c r="A185" s="1">
        <v>41736</v>
      </c>
      <c r="B185">
        <v>5</v>
      </c>
      <c r="C185">
        <v>504</v>
      </c>
      <c r="D185" t="str">
        <f>_xlfn.XLOOKUP(B185, 'Cust_inform'!A:A, 'Cust_inform'!E:E, "NOT FOUND")</f>
        <v>UNEMPLOYED</v>
      </c>
      <c r="E185">
        <f>_xlfn.XLOOKUP(B185, 'Cust_inform'!A:A, 'Cust_inform'!D:D)</f>
        <v>23</v>
      </c>
      <c r="F185" t="str">
        <f>_xlfn.XLOOKUP(E185,Postcodes!A:A, Postcodes!B:B, "NOT FOUND")</f>
        <v>N</v>
      </c>
    </row>
    <row r="186" spans="1:6" x14ac:dyDescent="0.25">
      <c r="A186" s="1">
        <v>41737</v>
      </c>
      <c r="B186">
        <v>5</v>
      </c>
      <c r="C186">
        <v>483</v>
      </c>
      <c r="D186" t="str">
        <f>_xlfn.XLOOKUP(B186, 'Cust_inform'!A:A, 'Cust_inform'!E:E, "NOT FOUND")</f>
        <v>UNEMPLOYED</v>
      </c>
      <c r="E186">
        <f>_xlfn.XLOOKUP(B186, 'Cust_inform'!A:A, 'Cust_inform'!D:D)</f>
        <v>23</v>
      </c>
      <c r="F186" t="str">
        <f>_xlfn.XLOOKUP(E186,Postcodes!A:A, Postcodes!B:B, "NOT FOUND")</f>
        <v>N</v>
      </c>
    </row>
    <row r="187" spans="1:6" x14ac:dyDescent="0.25">
      <c r="A187" s="1">
        <v>41741</v>
      </c>
      <c r="B187">
        <v>5</v>
      </c>
      <c r="C187">
        <v>489</v>
      </c>
      <c r="D187" t="str">
        <f>_xlfn.XLOOKUP(B187, 'Cust_inform'!A:A, 'Cust_inform'!E:E, "NOT FOUND")</f>
        <v>UNEMPLOYED</v>
      </c>
      <c r="E187">
        <f>_xlfn.XLOOKUP(B187, 'Cust_inform'!A:A, 'Cust_inform'!D:D)</f>
        <v>23</v>
      </c>
      <c r="F187" t="str">
        <f>_xlfn.XLOOKUP(E187,Postcodes!A:A, Postcodes!B:B, "NOT FOUND")</f>
        <v>N</v>
      </c>
    </row>
    <row r="188" spans="1:6" x14ac:dyDescent="0.25">
      <c r="A188" s="1">
        <v>41748</v>
      </c>
      <c r="B188">
        <v>5</v>
      </c>
      <c r="C188">
        <v>515</v>
      </c>
      <c r="D188" t="str">
        <f>_xlfn.XLOOKUP(B188, 'Cust_inform'!A:A, 'Cust_inform'!E:E, "NOT FOUND")</f>
        <v>UNEMPLOYED</v>
      </c>
      <c r="E188">
        <f>_xlfn.XLOOKUP(B188, 'Cust_inform'!A:A, 'Cust_inform'!D:D)</f>
        <v>23</v>
      </c>
      <c r="F188" t="str">
        <f>_xlfn.XLOOKUP(E188,Postcodes!A:A, Postcodes!B:B, "NOT FOUND")</f>
        <v>N</v>
      </c>
    </row>
    <row r="189" spans="1:6" x14ac:dyDescent="0.25">
      <c r="A189" s="1">
        <v>41751</v>
      </c>
      <c r="B189">
        <v>5</v>
      </c>
      <c r="C189">
        <v>469</v>
      </c>
      <c r="D189" t="str">
        <f>_xlfn.XLOOKUP(B189, 'Cust_inform'!A:A, 'Cust_inform'!E:E, "NOT FOUND")</f>
        <v>UNEMPLOYED</v>
      </c>
      <c r="E189">
        <f>_xlfn.XLOOKUP(B189, 'Cust_inform'!A:A, 'Cust_inform'!D:D)</f>
        <v>23</v>
      </c>
      <c r="F189" t="str">
        <f>_xlfn.XLOOKUP(E189,Postcodes!A:A, Postcodes!B:B, "NOT FOUND")</f>
        <v>N</v>
      </c>
    </row>
    <row r="190" spans="1:6" x14ac:dyDescent="0.25">
      <c r="A190" s="1">
        <v>41753</v>
      </c>
      <c r="B190">
        <v>5</v>
      </c>
      <c r="C190">
        <v>447</v>
      </c>
      <c r="D190" t="str">
        <f>_xlfn.XLOOKUP(B190, 'Cust_inform'!A:A, 'Cust_inform'!E:E, "NOT FOUND")</f>
        <v>UNEMPLOYED</v>
      </c>
      <c r="E190">
        <f>_xlfn.XLOOKUP(B190, 'Cust_inform'!A:A, 'Cust_inform'!D:D)</f>
        <v>23</v>
      </c>
      <c r="F190" t="str">
        <f>_xlfn.XLOOKUP(E190,Postcodes!A:A, Postcodes!B:B, "NOT FOUND")</f>
        <v>N</v>
      </c>
    </row>
    <row r="191" spans="1:6" x14ac:dyDescent="0.25">
      <c r="A191" s="1">
        <v>41754</v>
      </c>
      <c r="B191">
        <v>5</v>
      </c>
      <c r="C191">
        <v>464</v>
      </c>
      <c r="D191" t="str">
        <f>_xlfn.XLOOKUP(B191, 'Cust_inform'!A:A, 'Cust_inform'!E:E, "NOT FOUND")</f>
        <v>UNEMPLOYED</v>
      </c>
      <c r="E191">
        <f>_xlfn.XLOOKUP(B191, 'Cust_inform'!A:A, 'Cust_inform'!D:D)</f>
        <v>23</v>
      </c>
      <c r="F191" t="str">
        <f>_xlfn.XLOOKUP(E191,Postcodes!A:A, Postcodes!B:B, "NOT FOUND")</f>
        <v>N</v>
      </c>
    </row>
    <row r="192" spans="1:6" x14ac:dyDescent="0.25">
      <c r="A192" s="1">
        <v>41761</v>
      </c>
      <c r="B192">
        <v>5</v>
      </c>
      <c r="C192">
        <v>489</v>
      </c>
      <c r="D192" t="str">
        <f>_xlfn.XLOOKUP(B192, 'Cust_inform'!A:A, 'Cust_inform'!E:E, "NOT FOUND")</f>
        <v>UNEMPLOYED</v>
      </c>
      <c r="E192">
        <f>_xlfn.XLOOKUP(B192, 'Cust_inform'!A:A, 'Cust_inform'!D:D)</f>
        <v>23</v>
      </c>
      <c r="F192" t="str">
        <f>_xlfn.XLOOKUP(E192,Postcodes!A:A, Postcodes!B:B, "NOT FOUND")</f>
        <v>N</v>
      </c>
    </row>
    <row r="193" spans="1:6" x14ac:dyDescent="0.25">
      <c r="A193" s="1">
        <v>41763</v>
      </c>
      <c r="B193">
        <v>5</v>
      </c>
      <c r="C193">
        <v>505</v>
      </c>
      <c r="D193" t="str">
        <f>_xlfn.XLOOKUP(B193, 'Cust_inform'!A:A, 'Cust_inform'!E:E, "NOT FOUND")</f>
        <v>UNEMPLOYED</v>
      </c>
      <c r="E193">
        <f>_xlfn.XLOOKUP(B193, 'Cust_inform'!A:A, 'Cust_inform'!D:D)</f>
        <v>23</v>
      </c>
      <c r="F193" t="str">
        <f>_xlfn.XLOOKUP(E193,Postcodes!A:A, Postcodes!B:B, "NOT FOUND")</f>
        <v>N</v>
      </c>
    </row>
    <row r="194" spans="1:6" x14ac:dyDescent="0.25">
      <c r="A194" s="1">
        <v>41763</v>
      </c>
      <c r="B194">
        <v>5</v>
      </c>
      <c r="C194">
        <v>507</v>
      </c>
      <c r="D194" t="str">
        <f>_xlfn.XLOOKUP(B194, 'Cust_inform'!A:A, 'Cust_inform'!E:E, "NOT FOUND")</f>
        <v>UNEMPLOYED</v>
      </c>
      <c r="E194">
        <f>_xlfn.XLOOKUP(B194, 'Cust_inform'!A:A, 'Cust_inform'!D:D)</f>
        <v>23</v>
      </c>
      <c r="F194" t="str">
        <f>_xlfn.XLOOKUP(E194,Postcodes!A:A, Postcodes!B:B, "NOT FOUND")</f>
        <v>N</v>
      </c>
    </row>
    <row r="195" spans="1:6" x14ac:dyDescent="0.25">
      <c r="A195" s="1">
        <v>41765</v>
      </c>
      <c r="B195">
        <v>5</v>
      </c>
      <c r="C195">
        <v>455</v>
      </c>
      <c r="D195" t="str">
        <f>_xlfn.XLOOKUP(B195, 'Cust_inform'!A:A, 'Cust_inform'!E:E, "NOT FOUND")</f>
        <v>UNEMPLOYED</v>
      </c>
      <c r="E195">
        <f>_xlfn.XLOOKUP(B195, 'Cust_inform'!A:A, 'Cust_inform'!D:D)</f>
        <v>23</v>
      </c>
      <c r="F195" t="str">
        <f>_xlfn.XLOOKUP(E195,Postcodes!A:A, Postcodes!B:B, "NOT FOUND")</f>
        <v>N</v>
      </c>
    </row>
    <row r="196" spans="1:6" x14ac:dyDescent="0.25">
      <c r="A196" s="1">
        <v>41766</v>
      </c>
      <c r="B196">
        <v>5</v>
      </c>
      <c r="C196">
        <v>481</v>
      </c>
      <c r="D196" t="str">
        <f>_xlfn.XLOOKUP(B196, 'Cust_inform'!A:A, 'Cust_inform'!E:E, "NOT FOUND")</f>
        <v>UNEMPLOYED</v>
      </c>
      <c r="E196">
        <f>_xlfn.XLOOKUP(B196, 'Cust_inform'!A:A, 'Cust_inform'!D:D)</f>
        <v>23</v>
      </c>
      <c r="F196" t="str">
        <f>_xlfn.XLOOKUP(E196,Postcodes!A:A, Postcodes!B:B, "NOT FOUND")</f>
        <v>N</v>
      </c>
    </row>
    <row r="197" spans="1:6" x14ac:dyDescent="0.25">
      <c r="A197" s="1">
        <v>41772</v>
      </c>
      <c r="B197">
        <v>5</v>
      </c>
      <c r="C197">
        <v>448</v>
      </c>
      <c r="D197" t="str">
        <f>_xlfn.XLOOKUP(B197, 'Cust_inform'!A:A, 'Cust_inform'!E:E, "NOT FOUND")</f>
        <v>UNEMPLOYED</v>
      </c>
      <c r="E197">
        <f>_xlfn.XLOOKUP(B197, 'Cust_inform'!A:A, 'Cust_inform'!D:D)</f>
        <v>23</v>
      </c>
      <c r="F197" t="str">
        <f>_xlfn.XLOOKUP(E197,Postcodes!A:A, Postcodes!B:B, "NOT FOUND")</f>
        <v>N</v>
      </c>
    </row>
    <row r="198" spans="1:6" x14ac:dyDescent="0.25">
      <c r="A198" s="1">
        <v>41777</v>
      </c>
      <c r="B198">
        <v>5</v>
      </c>
      <c r="C198">
        <v>497</v>
      </c>
      <c r="D198" t="str">
        <f>_xlfn.XLOOKUP(B198, 'Cust_inform'!A:A, 'Cust_inform'!E:E, "NOT FOUND")</f>
        <v>UNEMPLOYED</v>
      </c>
      <c r="E198">
        <f>_xlfn.XLOOKUP(B198, 'Cust_inform'!A:A, 'Cust_inform'!D:D)</f>
        <v>23</v>
      </c>
      <c r="F198" t="str">
        <f>_xlfn.XLOOKUP(E198,Postcodes!A:A, Postcodes!B:B, "NOT FOUND")</f>
        <v>N</v>
      </c>
    </row>
    <row r="199" spans="1:6" x14ac:dyDescent="0.25">
      <c r="A199" s="1">
        <v>41780</v>
      </c>
      <c r="B199">
        <v>5</v>
      </c>
      <c r="C199">
        <v>501</v>
      </c>
      <c r="D199" t="str">
        <f>_xlfn.XLOOKUP(B199, 'Cust_inform'!A:A, 'Cust_inform'!E:E, "NOT FOUND")</f>
        <v>UNEMPLOYED</v>
      </c>
      <c r="E199">
        <f>_xlfn.XLOOKUP(B199, 'Cust_inform'!A:A, 'Cust_inform'!D:D)</f>
        <v>23</v>
      </c>
      <c r="F199" t="str">
        <f>_xlfn.XLOOKUP(E199,Postcodes!A:A, Postcodes!B:B, "NOT FOUND")</f>
        <v>N</v>
      </c>
    </row>
    <row r="200" spans="1:6" x14ac:dyDescent="0.25">
      <c r="A200" s="1">
        <v>41793</v>
      </c>
      <c r="B200">
        <v>5</v>
      </c>
      <c r="C200">
        <v>484</v>
      </c>
      <c r="D200" t="str">
        <f>_xlfn.XLOOKUP(B200, 'Cust_inform'!A:A, 'Cust_inform'!E:E, "NOT FOUND")</f>
        <v>UNEMPLOYED</v>
      </c>
      <c r="E200">
        <f>_xlfn.XLOOKUP(B200, 'Cust_inform'!A:A, 'Cust_inform'!D:D)</f>
        <v>23</v>
      </c>
      <c r="F200" t="str">
        <f>_xlfn.XLOOKUP(E200,Postcodes!A:A, Postcodes!B:B, "NOT FOUND")</f>
        <v>N</v>
      </c>
    </row>
    <row r="201" spans="1:6" x14ac:dyDescent="0.25">
      <c r="A201" s="1">
        <v>41795</v>
      </c>
      <c r="B201">
        <v>5</v>
      </c>
      <c r="C201">
        <v>541</v>
      </c>
      <c r="D201" t="str">
        <f>_xlfn.XLOOKUP(B201, 'Cust_inform'!A:A, 'Cust_inform'!E:E, "NOT FOUND")</f>
        <v>UNEMPLOYED</v>
      </c>
      <c r="E201">
        <f>_xlfn.XLOOKUP(B201, 'Cust_inform'!A:A, 'Cust_inform'!D:D)</f>
        <v>23</v>
      </c>
      <c r="F201" t="str">
        <f>_xlfn.XLOOKUP(E201,Postcodes!A:A, Postcodes!B:B, "NOT FOUND")</f>
        <v>N</v>
      </c>
    </row>
    <row r="202" spans="1:6" x14ac:dyDescent="0.25">
      <c r="A202" s="1">
        <v>41799</v>
      </c>
      <c r="B202">
        <v>5</v>
      </c>
      <c r="C202">
        <v>438</v>
      </c>
      <c r="D202" t="str">
        <f>_xlfn.XLOOKUP(B202, 'Cust_inform'!A:A, 'Cust_inform'!E:E, "NOT FOUND")</f>
        <v>UNEMPLOYED</v>
      </c>
      <c r="E202">
        <f>_xlfn.XLOOKUP(B202, 'Cust_inform'!A:A, 'Cust_inform'!D:D)</f>
        <v>23</v>
      </c>
      <c r="F202" t="str">
        <f>_xlfn.XLOOKUP(E202,Postcodes!A:A, Postcodes!B:B, "NOT FOUND")</f>
        <v>N</v>
      </c>
    </row>
    <row r="203" spans="1:6" x14ac:dyDescent="0.25">
      <c r="A203" s="1">
        <v>41804</v>
      </c>
      <c r="B203">
        <v>5</v>
      </c>
      <c r="C203">
        <v>480</v>
      </c>
      <c r="D203" t="str">
        <f>_xlfn.XLOOKUP(B203, 'Cust_inform'!A:A, 'Cust_inform'!E:E, "NOT FOUND")</f>
        <v>UNEMPLOYED</v>
      </c>
      <c r="E203">
        <f>_xlfn.XLOOKUP(B203, 'Cust_inform'!A:A, 'Cust_inform'!D:D)</f>
        <v>23</v>
      </c>
      <c r="F203" t="str">
        <f>_xlfn.XLOOKUP(E203,Postcodes!A:A, Postcodes!B:B, "NOT FOUND")</f>
        <v>N</v>
      </c>
    </row>
    <row r="204" spans="1:6" x14ac:dyDescent="0.25">
      <c r="A204" s="1">
        <v>41816</v>
      </c>
      <c r="B204">
        <v>5</v>
      </c>
      <c r="C204">
        <v>550</v>
      </c>
      <c r="D204" t="str">
        <f>_xlfn.XLOOKUP(B204, 'Cust_inform'!A:A, 'Cust_inform'!E:E, "NOT FOUND")</f>
        <v>UNEMPLOYED</v>
      </c>
      <c r="E204">
        <f>_xlfn.XLOOKUP(B204, 'Cust_inform'!A:A, 'Cust_inform'!D:D)</f>
        <v>23</v>
      </c>
      <c r="F204" t="str">
        <f>_xlfn.XLOOKUP(E204,Postcodes!A:A, Postcodes!B:B, "NOT FOUND")</f>
        <v>N</v>
      </c>
    </row>
    <row r="205" spans="1:6" x14ac:dyDescent="0.25">
      <c r="A205" s="1">
        <v>41634</v>
      </c>
      <c r="B205">
        <v>6</v>
      </c>
      <c r="C205">
        <v>515</v>
      </c>
      <c r="D205" t="str">
        <f>_xlfn.XLOOKUP(B205, 'Cust_inform'!A:A, 'Cust_inform'!E:E, "NOT FOUND")</f>
        <v>UNEMPLOYED</v>
      </c>
      <c r="E205">
        <f>_xlfn.XLOOKUP(B205, 'Cust_inform'!A:A, 'Cust_inform'!D:D)</f>
        <v>17</v>
      </c>
      <c r="F205" t="str">
        <f>_xlfn.XLOOKUP(E205,Postcodes!A:A, Postcodes!B:B, "NOT FOUND")</f>
        <v>S</v>
      </c>
    </row>
    <row r="206" spans="1:6" x14ac:dyDescent="0.25">
      <c r="A206" s="1">
        <v>41640</v>
      </c>
      <c r="B206">
        <v>6</v>
      </c>
      <c r="C206">
        <v>510</v>
      </c>
      <c r="D206" t="str">
        <f>_xlfn.XLOOKUP(B206, 'Cust_inform'!A:A, 'Cust_inform'!E:E, "NOT FOUND")</f>
        <v>UNEMPLOYED</v>
      </c>
      <c r="E206">
        <f>_xlfn.XLOOKUP(B206, 'Cust_inform'!A:A, 'Cust_inform'!D:D)</f>
        <v>17</v>
      </c>
      <c r="F206" t="str">
        <f>_xlfn.XLOOKUP(E206,Postcodes!A:A, Postcodes!B:B, "NOT FOUND")</f>
        <v>S</v>
      </c>
    </row>
    <row r="207" spans="1:6" x14ac:dyDescent="0.25">
      <c r="A207" s="1">
        <v>41663</v>
      </c>
      <c r="B207">
        <v>6</v>
      </c>
      <c r="C207">
        <v>489</v>
      </c>
      <c r="D207" t="str">
        <f>_xlfn.XLOOKUP(B207, 'Cust_inform'!A:A, 'Cust_inform'!E:E, "NOT FOUND")</f>
        <v>UNEMPLOYED</v>
      </c>
      <c r="E207">
        <f>_xlfn.XLOOKUP(B207, 'Cust_inform'!A:A, 'Cust_inform'!D:D)</f>
        <v>17</v>
      </c>
      <c r="F207" t="str">
        <f>_xlfn.XLOOKUP(E207,Postcodes!A:A, Postcodes!B:B, "NOT FOUND")</f>
        <v>S</v>
      </c>
    </row>
    <row r="208" spans="1:6" x14ac:dyDescent="0.25">
      <c r="A208" s="1">
        <v>41663</v>
      </c>
      <c r="B208">
        <v>6</v>
      </c>
      <c r="C208">
        <v>487</v>
      </c>
      <c r="D208" t="str">
        <f>_xlfn.XLOOKUP(B208, 'Cust_inform'!A:A, 'Cust_inform'!E:E, "NOT FOUND")</f>
        <v>UNEMPLOYED</v>
      </c>
      <c r="E208">
        <f>_xlfn.XLOOKUP(B208, 'Cust_inform'!A:A, 'Cust_inform'!D:D)</f>
        <v>17</v>
      </c>
      <c r="F208" t="str">
        <f>_xlfn.XLOOKUP(E208,Postcodes!A:A, Postcodes!B:B, "NOT FOUND")</f>
        <v>S</v>
      </c>
    </row>
    <row r="209" spans="1:6" x14ac:dyDescent="0.25">
      <c r="A209" s="1">
        <v>41666</v>
      </c>
      <c r="B209">
        <v>6</v>
      </c>
      <c r="C209">
        <v>446</v>
      </c>
      <c r="D209" t="str">
        <f>_xlfn.XLOOKUP(B209, 'Cust_inform'!A:A, 'Cust_inform'!E:E, "NOT FOUND")</f>
        <v>UNEMPLOYED</v>
      </c>
      <c r="E209">
        <f>_xlfn.XLOOKUP(B209, 'Cust_inform'!A:A, 'Cust_inform'!D:D)</f>
        <v>17</v>
      </c>
      <c r="F209" t="str">
        <f>_xlfn.XLOOKUP(E209,Postcodes!A:A, Postcodes!B:B, "NOT FOUND")</f>
        <v>S</v>
      </c>
    </row>
    <row r="210" spans="1:6" x14ac:dyDescent="0.25">
      <c r="A210" s="1">
        <v>41670</v>
      </c>
      <c r="B210">
        <v>6</v>
      </c>
      <c r="C210">
        <v>458</v>
      </c>
      <c r="D210" t="str">
        <f>_xlfn.XLOOKUP(B210, 'Cust_inform'!A:A, 'Cust_inform'!E:E, "NOT FOUND")</f>
        <v>UNEMPLOYED</v>
      </c>
      <c r="E210">
        <f>_xlfn.XLOOKUP(B210, 'Cust_inform'!A:A, 'Cust_inform'!D:D)</f>
        <v>17</v>
      </c>
      <c r="F210" t="str">
        <f>_xlfn.XLOOKUP(E210,Postcodes!A:A, Postcodes!B:B, "NOT FOUND")</f>
        <v>S</v>
      </c>
    </row>
    <row r="211" spans="1:6" x14ac:dyDescent="0.25">
      <c r="A211" s="1">
        <v>41670</v>
      </c>
      <c r="B211">
        <v>6</v>
      </c>
      <c r="C211">
        <v>443</v>
      </c>
      <c r="D211" t="str">
        <f>_xlfn.XLOOKUP(B211, 'Cust_inform'!A:A, 'Cust_inform'!E:E, "NOT FOUND")</f>
        <v>UNEMPLOYED</v>
      </c>
      <c r="E211">
        <f>_xlfn.XLOOKUP(B211, 'Cust_inform'!A:A, 'Cust_inform'!D:D)</f>
        <v>17</v>
      </c>
      <c r="F211" t="str">
        <f>_xlfn.XLOOKUP(E211,Postcodes!A:A, Postcodes!B:B, "NOT FOUND")</f>
        <v>S</v>
      </c>
    </row>
    <row r="212" spans="1:6" x14ac:dyDescent="0.25">
      <c r="A212" s="1">
        <v>41671</v>
      </c>
      <c r="B212">
        <v>6</v>
      </c>
      <c r="D212" t="str">
        <f>_xlfn.XLOOKUP(B212, 'Cust_inform'!A:A, 'Cust_inform'!E:E, "NOT FOUND")</f>
        <v>UNEMPLOYED</v>
      </c>
      <c r="E212">
        <f>_xlfn.XLOOKUP(B212, 'Cust_inform'!A:A, 'Cust_inform'!D:D)</f>
        <v>17</v>
      </c>
      <c r="F212" t="str">
        <f>_xlfn.XLOOKUP(E212,Postcodes!A:A, Postcodes!B:B, "NOT FOUND")</f>
        <v>S</v>
      </c>
    </row>
    <row r="213" spans="1:6" x14ac:dyDescent="0.25">
      <c r="A213" s="1">
        <v>41672</v>
      </c>
      <c r="B213">
        <v>6</v>
      </c>
      <c r="C213">
        <v>479</v>
      </c>
      <c r="D213" t="str">
        <f>_xlfn.XLOOKUP(B213, 'Cust_inform'!A:A, 'Cust_inform'!E:E, "NOT FOUND")</f>
        <v>UNEMPLOYED</v>
      </c>
      <c r="E213">
        <f>_xlfn.XLOOKUP(B213, 'Cust_inform'!A:A, 'Cust_inform'!D:D)</f>
        <v>17</v>
      </c>
      <c r="F213" t="str">
        <f>_xlfn.XLOOKUP(E213,Postcodes!A:A, Postcodes!B:B, "NOT FOUND")</f>
        <v>S</v>
      </c>
    </row>
    <row r="214" spans="1:6" x14ac:dyDescent="0.25">
      <c r="A214" s="1">
        <v>41674</v>
      </c>
      <c r="B214">
        <v>6</v>
      </c>
      <c r="C214">
        <v>452</v>
      </c>
      <c r="D214" t="str">
        <f>_xlfn.XLOOKUP(B214, 'Cust_inform'!A:A, 'Cust_inform'!E:E, "NOT FOUND")</f>
        <v>UNEMPLOYED</v>
      </c>
      <c r="E214">
        <f>_xlfn.XLOOKUP(B214, 'Cust_inform'!A:A, 'Cust_inform'!D:D)</f>
        <v>17</v>
      </c>
      <c r="F214" t="str">
        <f>_xlfn.XLOOKUP(E214,Postcodes!A:A, Postcodes!B:B, "NOT FOUND")</f>
        <v>S</v>
      </c>
    </row>
    <row r="215" spans="1:6" x14ac:dyDescent="0.25">
      <c r="A215" s="1">
        <v>41676</v>
      </c>
      <c r="B215">
        <v>6</v>
      </c>
      <c r="C215">
        <v>501</v>
      </c>
      <c r="D215" t="str">
        <f>_xlfn.XLOOKUP(B215, 'Cust_inform'!A:A, 'Cust_inform'!E:E, "NOT FOUND")</f>
        <v>UNEMPLOYED</v>
      </c>
      <c r="E215">
        <f>_xlfn.XLOOKUP(B215, 'Cust_inform'!A:A, 'Cust_inform'!D:D)</f>
        <v>17</v>
      </c>
      <c r="F215" t="str">
        <f>_xlfn.XLOOKUP(E215,Postcodes!A:A, Postcodes!B:B, "NOT FOUND")</f>
        <v>S</v>
      </c>
    </row>
    <row r="216" spans="1:6" x14ac:dyDescent="0.25">
      <c r="A216" s="1">
        <v>41677</v>
      </c>
      <c r="B216">
        <v>6</v>
      </c>
      <c r="C216">
        <v>472</v>
      </c>
      <c r="D216" t="str">
        <f>_xlfn.XLOOKUP(B216, 'Cust_inform'!A:A, 'Cust_inform'!E:E, "NOT FOUND")</f>
        <v>UNEMPLOYED</v>
      </c>
      <c r="E216">
        <f>_xlfn.XLOOKUP(B216, 'Cust_inform'!A:A, 'Cust_inform'!D:D)</f>
        <v>17</v>
      </c>
      <c r="F216" t="str">
        <f>_xlfn.XLOOKUP(E216,Postcodes!A:A, Postcodes!B:B, "NOT FOUND")</f>
        <v>S</v>
      </c>
    </row>
    <row r="217" spans="1:6" x14ac:dyDescent="0.25">
      <c r="A217" s="1">
        <v>41688</v>
      </c>
      <c r="B217">
        <v>6</v>
      </c>
      <c r="C217">
        <v>454</v>
      </c>
      <c r="D217" t="str">
        <f>_xlfn.XLOOKUP(B217, 'Cust_inform'!A:A, 'Cust_inform'!E:E, "NOT FOUND")</f>
        <v>UNEMPLOYED</v>
      </c>
      <c r="E217">
        <f>_xlfn.XLOOKUP(B217, 'Cust_inform'!A:A, 'Cust_inform'!D:D)</f>
        <v>17</v>
      </c>
      <c r="F217" t="str">
        <f>_xlfn.XLOOKUP(E217,Postcodes!A:A, Postcodes!B:B, "NOT FOUND")</f>
        <v>S</v>
      </c>
    </row>
    <row r="218" spans="1:6" x14ac:dyDescent="0.25">
      <c r="A218" s="1">
        <v>41689</v>
      </c>
      <c r="B218">
        <v>6</v>
      </c>
      <c r="C218">
        <v>446</v>
      </c>
      <c r="D218" t="str">
        <f>_xlfn.XLOOKUP(B218, 'Cust_inform'!A:A, 'Cust_inform'!E:E, "NOT FOUND")</f>
        <v>UNEMPLOYED</v>
      </c>
      <c r="E218">
        <f>_xlfn.XLOOKUP(B218, 'Cust_inform'!A:A, 'Cust_inform'!D:D)</f>
        <v>17</v>
      </c>
      <c r="F218" t="str">
        <f>_xlfn.XLOOKUP(E218,Postcodes!A:A, Postcodes!B:B, "NOT FOUND")</f>
        <v>S</v>
      </c>
    </row>
    <row r="219" spans="1:6" x14ac:dyDescent="0.25">
      <c r="A219" s="1">
        <v>41692</v>
      </c>
      <c r="B219">
        <v>6</v>
      </c>
      <c r="C219">
        <v>486</v>
      </c>
      <c r="D219" t="str">
        <f>_xlfn.XLOOKUP(B219, 'Cust_inform'!A:A, 'Cust_inform'!E:E, "NOT FOUND")</f>
        <v>UNEMPLOYED</v>
      </c>
      <c r="E219">
        <f>_xlfn.XLOOKUP(B219, 'Cust_inform'!A:A, 'Cust_inform'!D:D)</f>
        <v>17</v>
      </c>
      <c r="F219" t="str">
        <f>_xlfn.XLOOKUP(E219,Postcodes!A:A, Postcodes!B:B, "NOT FOUND")</f>
        <v>S</v>
      </c>
    </row>
    <row r="220" spans="1:6" x14ac:dyDescent="0.25">
      <c r="A220" s="1">
        <v>41692</v>
      </c>
      <c r="B220">
        <v>6</v>
      </c>
      <c r="C220">
        <v>497</v>
      </c>
      <c r="D220" t="str">
        <f>_xlfn.XLOOKUP(B220, 'Cust_inform'!A:A, 'Cust_inform'!E:E, "NOT FOUND")</f>
        <v>UNEMPLOYED</v>
      </c>
      <c r="E220">
        <f>_xlfn.XLOOKUP(B220, 'Cust_inform'!A:A, 'Cust_inform'!D:D)</f>
        <v>17</v>
      </c>
      <c r="F220" t="str">
        <f>_xlfn.XLOOKUP(E220,Postcodes!A:A, Postcodes!B:B, "NOT FOUND")</f>
        <v>S</v>
      </c>
    </row>
    <row r="221" spans="1:6" x14ac:dyDescent="0.25">
      <c r="A221" s="1">
        <v>41695</v>
      </c>
      <c r="B221">
        <v>6</v>
      </c>
      <c r="C221">
        <v>415</v>
      </c>
      <c r="D221" t="str">
        <f>_xlfn.XLOOKUP(B221, 'Cust_inform'!A:A, 'Cust_inform'!E:E, "NOT FOUND")</f>
        <v>UNEMPLOYED</v>
      </c>
      <c r="E221">
        <f>_xlfn.XLOOKUP(B221, 'Cust_inform'!A:A, 'Cust_inform'!D:D)</f>
        <v>17</v>
      </c>
      <c r="F221" t="str">
        <f>_xlfn.XLOOKUP(E221,Postcodes!A:A, Postcodes!B:B, "NOT FOUND")</f>
        <v>S</v>
      </c>
    </row>
    <row r="222" spans="1:6" x14ac:dyDescent="0.25">
      <c r="A222" s="1">
        <v>41696</v>
      </c>
      <c r="B222">
        <v>6</v>
      </c>
      <c r="C222">
        <v>471</v>
      </c>
      <c r="D222" t="str">
        <f>_xlfn.XLOOKUP(B222, 'Cust_inform'!A:A, 'Cust_inform'!E:E, "NOT FOUND")</f>
        <v>UNEMPLOYED</v>
      </c>
      <c r="E222">
        <f>_xlfn.XLOOKUP(B222, 'Cust_inform'!A:A, 'Cust_inform'!D:D)</f>
        <v>17</v>
      </c>
      <c r="F222" t="str">
        <f>_xlfn.XLOOKUP(E222,Postcodes!A:A, Postcodes!B:B, "NOT FOUND")</f>
        <v>S</v>
      </c>
    </row>
    <row r="223" spans="1:6" x14ac:dyDescent="0.25">
      <c r="A223" s="1">
        <v>41699</v>
      </c>
      <c r="B223">
        <v>6</v>
      </c>
      <c r="C223">
        <v>549</v>
      </c>
      <c r="D223" t="str">
        <f>_xlfn.XLOOKUP(B223, 'Cust_inform'!A:A, 'Cust_inform'!E:E, "NOT FOUND")</f>
        <v>UNEMPLOYED</v>
      </c>
      <c r="E223">
        <f>_xlfn.XLOOKUP(B223, 'Cust_inform'!A:A, 'Cust_inform'!D:D)</f>
        <v>17</v>
      </c>
      <c r="F223" t="str">
        <f>_xlfn.XLOOKUP(E223,Postcodes!A:A, Postcodes!B:B, "NOT FOUND")</f>
        <v>S</v>
      </c>
    </row>
    <row r="224" spans="1:6" x14ac:dyDescent="0.25">
      <c r="A224" s="1">
        <v>41703</v>
      </c>
      <c r="B224">
        <v>6</v>
      </c>
      <c r="C224">
        <v>451</v>
      </c>
      <c r="D224" t="str">
        <f>_xlfn.XLOOKUP(B224, 'Cust_inform'!A:A, 'Cust_inform'!E:E, "NOT FOUND")</f>
        <v>UNEMPLOYED</v>
      </c>
      <c r="E224">
        <f>_xlfn.XLOOKUP(B224, 'Cust_inform'!A:A, 'Cust_inform'!D:D)</f>
        <v>17</v>
      </c>
      <c r="F224" t="str">
        <f>_xlfn.XLOOKUP(E224,Postcodes!A:A, Postcodes!B:B, "NOT FOUND")</f>
        <v>S</v>
      </c>
    </row>
    <row r="225" spans="1:6" x14ac:dyDescent="0.25">
      <c r="A225" s="1">
        <v>41705</v>
      </c>
      <c r="B225">
        <v>6</v>
      </c>
      <c r="C225">
        <v>534</v>
      </c>
      <c r="D225" t="str">
        <f>_xlfn.XLOOKUP(B225, 'Cust_inform'!A:A, 'Cust_inform'!E:E, "NOT FOUND")</f>
        <v>UNEMPLOYED</v>
      </c>
      <c r="E225">
        <f>_xlfn.XLOOKUP(B225, 'Cust_inform'!A:A, 'Cust_inform'!D:D)</f>
        <v>17</v>
      </c>
      <c r="F225" t="str">
        <f>_xlfn.XLOOKUP(E225,Postcodes!A:A, Postcodes!B:B, "NOT FOUND")</f>
        <v>S</v>
      </c>
    </row>
    <row r="226" spans="1:6" x14ac:dyDescent="0.25">
      <c r="A226" s="1">
        <v>41719</v>
      </c>
      <c r="B226">
        <v>6</v>
      </c>
      <c r="C226">
        <v>497</v>
      </c>
      <c r="D226" t="str">
        <f>_xlfn.XLOOKUP(B226, 'Cust_inform'!A:A, 'Cust_inform'!E:E, "NOT FOUND")</f>
        <v>UNEMPLOYED</v>
      </c>
      <c r="E226">
        <f>_xlfn.XLOOKUP(B226, 'Cust_inform'!A:A, 'Cust_inform'!D:D)</f>
        <v>17</v>
      </c>
      <c r="F226" t="str">
        <f>_xlfn.XLOOKUP(E226,Postcodes!A:A, Postcodes!B:B, "NOT FOUND")</f>
        <v>S</v>
      </c>
    </row>
    <row r="227" spans="1:6" x14ac:dyDescent="0.25">
      <c r="A227" s="1">
        <v>41725</v>
      </c>
      <c r="B227">
        <v>6</v>
      </c>
      <c r="C227">
        <v>444</v>
      </c>
      <c r="D227" t="str">
        <f>_xlfn.XLOOKUP(B227, 'Cust_inform'!A:A, 'Cust_inform'!E:E, "NOT FOUND")</f>
        <v>UNEMPLOYED</v>
      </c>
      <c r="E227">
        <f>_xlfn.XLOOKUP(B227, 'Cust_inform'!A:A, 'Cust_inform'!D:D)</f>
        <v>17</v>
      </c>
      <c r="F227" t="str">
        <f>_xlfn.XLOOKUP(E227,Postcodes!A:A, Postcodes!B:B, "NOT FOUND")</f>
        <v>S</v>
      </c>
    </row>
    <row r="228" spans="1:6" x14ac:dyDescent="0.25">
      <c r="A228" s="1">
        <v>41729</v>
      </c>
      <c r="B228">
        <v>6</v>
      </c>
      <c r="C228">
        <v>418</v>
      </c>
      <c r="D228" t="str">
        <f>_xlfn.XLOOKUP(B228, 'Cust_inform'!A:A, 'Cust_inform'!E:E, "NOT FOUND")</f>
        <v>UNEMPLOYED</v>
      </c>
      <c r="E228">
        <f>_xlfn.XLOOKUP(B228, 'Cust_inform'!A:A, 'Cust_inform'!D:D)</f>
        <v>17</v>
      </c>
      <c r="F228" t="str">
        <f>_xlfn.XLOOKUP(E228,Postcodes!A:A, Postcodes!B:B, "NOT FOUND")</f>
        <v>S</v>
      </c>
    </row>
    <row r="229" spans="1:6" x14ac:dyDescent="0.25">
      <c r="A229" s="1">
        <v>41731</v>
      </c>
      <c r="B229">
        <v>6</v>
      </c>
      <c r="C229">
        <v>483</v>
      </c>
      <c r="D229" t="str">
        <f>_xlfn.XLOOKUP(B229, 'Cust_inform'!A:A, 'Cust_inform'!E:E, "NOT FOUND")</f>
        <v>UNEMPLOYED</v>
      </c>
      <c r="E229">
        <f>_xlfn.XLOOKUP(B229, 'Cust_inform'!A:A, 'Cust_inform'!D:D)</f>
        <v>17</v>
      </c>
      <c r="F229" t="str">
        <f>_xlfn.XLOOKUP(E229,Postcodes!A:A, Postcodes!B:B, "NOT FOUND")</f>
        <v>S</v>
      </c>
    </row>
    <row r="230" spans="1:6" x14ac:dyDescent="0.25">
      <c r="A230" s="1">
        <v>41733</v>
      </c>
      <c r="B230">
        <v>6</v>
      </c>
      <c r="C230">
        <v>491</v>
      </c>
      <c r="D230" t="str">
        <f>_xlfn.XLOOKUP(B230, 'Cust_inform'!A:A, 'Cust_inform'!E:E, "NOT FOUND")</f>
        <v>UNEMPLOYED</v>
      </c>
      <c r="E230">
        <f>_xlfn.XLOOKUP(B230, 'Cust_inform'!A:A, 'Cust_inform'!D:D)</f>
        <v>17</v>
      </c>
      <c r="F230" t="str">
        <f>_xlfn.XLOOKUP(E230,Postcodes!A:A, Postcodes!B:B, "NOT FOUND")</f>
        <v>S</v>
      </c>
    </row>
    <row r="231" spans="1:6" x14ac:dyDescent="0.25">
      <c r="A231" s="1">
        <v>41742</v>
      </c>
      <c r="B231">
        <v>6</v>
      </c>
      <c r="C231">
        <v>436</v>
      </c>
      <c r="D231" t="str">
        <f>_xlfn.XLOOKUP(B231, 'Cust_inform'!A:A, 'Cust_inform'!E:E, "NOT FOUND")</f>
        <v>UNEMPLOYED</v>
      </c>
      <c r="E231">
        <f>_xlfn.XLOOKUP(B231, 'Cust_inform'!A:A, 'Cust_inform'!D:D)</f>
        <v>17</v>
      </c>
      <c r="F231" t="str">
        <f>_xlfn.XLOOKUP(E231,Postcodes!A:A, Postcodes!B:B, "NOT FOUND")</f>
        <v>S</v>
      </c>
    </row>
    <row r="232" spans="1:6" x14ac:dyDescent="0.25">
      <c r="A232" s="1">
        <v>41753</v>
      </c>
      <c r="B232">
        <v>6</v>
      </c>
      <c r="C232">
        <v>447</v>
      </c>
      <c r="D232" t="str">
        <f>_xlfn.XLOOKUP(B232, 'Cust_inform'!A:A, 'Cust_inform'!E:E, "NOT FOUND")</f>
        <v>UNEMPLOYED</v>
      </c>
      <c r="E232">
        <f>_xlfn.XLOOKUP(B232, 'Cust_inform'!A:A, 'Cust_inform'!D:D)</f>
        <v>17</v>
      </c>
      <c r="F232" t="str">
        <f>_xlfn.XLOOKUP(E232,Postcodes!A:A, Postcodes!B:B, "NOT FOUND")</f>
        <v>S</v>
      </c>
    </row>
    <row r="233" spans="1:6" x14ac:dyDescent="0.25">
      <c r="A233" s="1">
        <v>41755</v>
      </c>
      <c r="B233">
        <v>6</v>
      </c>
      <c r="C233">
        <v>444</v>
      </c>
      <c r="D233" t="str">
        <f>_xlfn.XLOOKUP(B233, 'Cust_inform'!A:A, 'Cust_inform'!E:E, "NOT FOUND")</f>
        <v>UNEMPLOYED</v>
      </c>
      <c r="E233">
        <f>_xlfn.XLOOKUP(B233, 'Cust_inform'!A:A, 'Cust_inform'!D:D)</f>
        <v>17</v>
      </c>
      <c r="F233" t="str">
        <f>_xlfn.XLOOKUP(E233,Postcodes!A:A, Postcodes!B:B, "NOT FOUND")</f>
        <v>S</v>
      </c>
    </row>
    <row r="234" spans="1:6" x14ac:dyDescent="0.25">
      <c r="A234" s="1">
        <v>41755</v>
      </c>
      <c r="B234">
        <v>6</v>
      </c>
      <c r="C234">
        <v>480</v>
      </c>
      <c r="D234" t="str">
        <f>_xlfn.XLOOKUP(B234, 'Cust_inform'!A:A, 'Cust_inform'!E:E, "NOT FOUND")</f>
        <v>UNEMPLOYED</v>
      </c>
      <c r="E234">
        <f>_xlfn.XLOOKUP(B234, 'Cust_inform'!A:A, 'Cust_inform'!D:D)</f>
        <v>17</v>
      </c>
      <c r="F234" t="str">
        <f>_xlfn.XLOOKUP(E234,Postcodes!A:A, Postcodes!B:B, "NOT FOUND")</f>
        <v>S</v>
      </c>
    </row>
    <row r="235" spans="1:6" x14ac:dyDescent="0.25">
      <c r="A235" s="1">
        <v>41757</v>
      </c>
      <c r="B235">
        <v>6</v>
      </c>
      <c r="C235">
        <v>518</v>
      </c>
      <c r="D235" t="str">
        <f>_xlfn.XLOOKUP(B235, 'Cust_inform'!A:A, 'Cust_inform'!E:E, "NOT FOUND")</f>
        <v>UNEMPLOYED</v>
      </c>
      <c r="E235">
        <f>_xlfn.XLOOKUP(B235, 'Cust_inform'!A:A, 'Cust_inform'!D:D)</f>
        <v>17</v>
      </c>
      <c r="F235" t="str">
        <f>_xlfn.XLOOKUP(E235,Postcodes!A:A, Postcodes!B:B, "NOT FOUND")</f>
        <v>S</v>
      </c>
    </row>
    <row r="236" spans="1:6" x14ac:dyDescent="0.25">
      <c r="A236" s="1">
        <v>41779</v>
      </c>
      <c r="B236">
        <v>6</v>
      </c>
      <c r="C236">
        <v>516</v>
      </c>
      <c r="D236" t="str">
        <f>_xlfn.XLOOKUP(B236, 'Cust_inform'!A:A, 'Cust_inform'!E:E, "NOT FOUND")</f>
        <v>UNEMPLOYED</v>
      </c>
      <c r="E236">
        <f>_xlfn.XLOOKUP(B236, 'Cust_inform'!A:A, 'Cust_inform'!D:D)</f>
        <v>17</v>
      </c>
      <c r="F236" t="str">
        <f>_xlfn.XLOOKUP(E236,Postcodes!A:A, Postcodes!B:B, "NOT FOUND")</f>
        <v>S</v>
      </c>
    </row>
    <row r="237" spans="1:6" x14ac:dyDescent="0.25">
      <c r="A237" s="1">
        <v>41785</v>
      </c>
      <c r="B237">
        <v>6</v>
      </c>
      <c r="C237">
        <v>560</v>
      </c>
      <c r="D237" t="str">
        <f>_xlfn.XLOOKUP(B237, 'Cust_inform'!A:A, 'Cust_inform'!E:E, "NOT FOUND")</f>
        <v>UNEMPLOYED</v>
      </c>
      <c r="E237">
        <f>_xlfn.XLOOKUP(B237, 'Cust_inform'!A:A, 'Cust_inform'!D:D)</f>
        <v>17</v>
      </c>
      <c r="F237" t="str">
        <f>_xlfn.XLOOKUP(E237,Postcodes!A:A, Postcodes!B:B, "NOT FOUND")</f>
        <v>S</v>
      </c>
    </row>
    <row r="238" spans="1:6" x14ac:dyDescent="0.25">
      <c r="A238" s="1">
        <v>41785</v>
      </c>
      <c r="B238">
        <v>6</v>
      </c>
      <c r="C238">
        <v>484</v>
      </c>
      <c r="D238" t="str">
        <f>_xlfn.XLOOKUP(B238, 'Cust_inform'!A:A, 'Cust_inform'!E:E, "NOT FOUND")</f>
        <v>UNEMPLOYED</v>
      </c>
      <c r="E238">
        <f>_xlfn.XLOOKUP(B238, 'Cust_inform'!A:A, 'Cust_inform'!D:D)</f>
        <v>17</v>
      </c>
      <c r="F238" t="str">
        <f>_xlfn.XLOOKUP(E238,Postcodes!A:A, Postcodes!B:B, "NOT FOUND")</f>
        <v>S</v>
      </c>
    </row>
    <row r="239" spans="1:6" x14ac:dyDescent="0.25">
      <c r="A239" s="1">
        <v>41797</v>
      </c>
      <c r="B239">
        <v>6</v>
      </c>
      <c r="C239">
        <v>481</v>
      </c>
      <c r="D239" t="str">
        <f>_xlfn.XLOOKUP(B239, 'Cust_inform'!A:A, 'Cust_inform'!E:E, "NOT FOUND")</f>
        <v>UNEMPLOYED</v>
      </c>
      <c r="E239">
        <f>_xlfn.XLOOKUP(B239, 'Cust_inform'!A:A, 'Cust_inform'!D:D)</f>
        <v>17</v>
      </c>
      <c r="F239" t="str">
        <f>_xlfn.XLOOKUP(E239,Postcodes!A:A, Postcodes!B:B, "NOT FOUND")</f>
        <v>S</v>
      </c>
    </row>
    <row r="240" spans="1:6" x14ac:dyDescent="0.25">
      <c r="A240" s="1">
        <v>41810</v>
      </c>
      <c r="B240">
        <v>6</v>
      </c>
      <c r="C240">
        <v>460</v>
      </c>
      <c r="D240" t="str">
        <f>_xlfn.XLOOKUP(B240, 'Cust_inform'!A:A, 'Cust_inform'!E:E, "NOT FOUND")</f>
        <v>UNEMPLOYED</v>
      </c>
      <c r="E240">
        <f>_xlfn.XLOOKUP(B240, 'Cust_inform'!A:A, 'Cust_inform'!D:D)</f>
        <v>17</v>
      </c>
      <c r="F240" t="str">
        <f>_xlfn.XLOOKUP(E240,Postcodes!A:A, Postcodes!B:B, "NOT FOUND")</f>
        <v>S</v>
      </c>
    </row>
    <row r="241" spans="1:6" x14ac:dyDescent="0.25">
      <c r="A241" s="1">
        <v>41813</v>
      </c>
      <c r="B241">
        <v>6</v>
      </c>
      <c r="C241">
        <v>437</v>
      </c>
      <c r="D241" t="str">
        <f>_xlfn.XLOOKUP(B241, 'Cust_inform'!A:A, 'Cust_inform'!E:E, "NOT FOUND")</f>
        <v>UNEMPLOYED</v>
      </c>
      <c r="E241">
        <f>_xlfn.XLOOKUP(B241, 'Cust_inform'!A:A, 'Cust_inform'!D:D)</f>
        <v>17</v>
      </c>
      <c r="F241" t="str">
        <f>_xlfn.XLOOKUP(E241,Postcodes!A:A, Postcodes!B:B, "NOT FOUND")</f>
        <v>S</v>
      </c>
    </row>
    <row r="242" spans="1:6" x14ac:dyDescent="0.25">
      <c r="A242" s="1">
        <v>41616</v>
      </c>
      <c r="B242">
        <v>7</v>
      </c>
      <c r="C242">
        <v>203</v>
      </c>
      <c r="D242" t="str">
        <f>_xlfn.XLOOKUP(B242, 'Cust_inform'!A:A, 'Cust_inform'!E:E, "NOT FOUND")</f>
        <v>EMPLOYED</v>
      </c>
      <c r="E242">
        <f>_xlfn.XLOOKUP(B242, 'Cust_inform'!A:A, 'Cust_inform'!D:D)</f>
        <v>25</v>
      </c>
      <c r="F242" t="str">
        <f>_xlfn.XLOOKUP(E242,Postcodes!A:A, Postcodes!B:B, "NOT FOUND")</f>
        <v>N</v>
      </c>
    </row>
    <row r="243" spans="1:6" x14ac:dyDescent="0.25">
      <c r="A243" s="1">
        <v>41626</v>
      </c>
      <c r="B243">
        <v>7</v>
      </c>
      <c r="C243">
        <v>206</v>
      </c>
      <c r="D243" t="str">
        <f>_xlfn.XLOOKUP(B243, 'Cust_inform'!A:A, 'Cust_inform'!E:E, "NOT FOUND")</f>
        <v>EMPLOYED</v>
      </c>
      <c r="E243">
        <f>_xlfn.XLOOKUP(B243, 'Cust_inform'!A:A, 'Cust_inform'!D:D)</f>
        <v>25</v>
      </c>
      <c r="F243" t="str">
        <f>_xlfn.XLOOKUP(E243,Postcodes!A:A, Postcodes!B:B, "NOT FOUND")</f>
        <v>N</v>
      </c>
    </row>
    <row r="244" spans="1:6" x14ac:dyDescent="0.25">
      <c r="A244" s="1">
        <v>41632</v>
      </c>
      <c r="B244">
        <v>7</v>
      </c>
      <c r="C244">
        <v>204</v>
      </c>
      <c r="D244" t="str">
        <f>_xlfn.XLOOKUP(B244, 'Cust_inform'!A:A, 'Cust_inform'!E:E, "NOT FOUND")</f>
        <v>EMPLOYED</v>
      </c>
      <c r="E244">
        <f>_xlfn.XLOOKUP(B244, 'Cust_inform'!A:A, 'Cust_inform'!D:D)</f>
        <v>25</v>
      </c>
      <c r="F244" t="str">
        <f>_xlfn.XLOOKUP(E244,Postcodes!A:A, Postcodes!B:B, "NOT FOUND")</f>
        <v>N</v>
      </c>
    </row>
    <row r="245" spans="1:6" x14ac:dyDescent="0.25">
      <c r="A245" s="1">
        <v>41636</v>
      </c>
      <c r="B245">
        <v>7</v>
      </c>
      <c r="C245">
        <v>202</v>
      </c>
      <c r="D245" t="str">
        <f>_xlfn.XLOOKUP(B245, 'Cust_inform'!A:A, 'Cust_inform'!E:E, "NOT FOUND")</f>
        <v>EMPLOYED</v>
      </c>
      <c r="E245">
        <f>_xlfn.XLOOKUP(B245, 'Cust_inform'!A:A, 'Cust_inform'!D:D)</f>
        <v>25</v>
      </c>
      <c r="F245" t="str">
        <f>_xlfn.XLOOKUP(E245,Postcodes!A:A, Postcodes!B:B, "NOT FOUND")</f>
        <v>N</v>
      </c>
    </row>
    <row r="246" spans="1:6" x14ac:dyDescent="0.25">
      <c r="A246" s="1">
        <v>41638</v>
      </c>
      <c r="B246">
        <v>7</v>
      </c>
      <c r="C246">
        <v>218</v>
      </c>
      <c r="D246" t="str">
        <f>_xlfn.XLOOKUP(B246, 'Cust_inform'!A:A, 'Cust_inform'!E:E, "NOT FOUND")</f>
        <v>EMPLOYED</v>
      </c>
      <c r="E246">
        <f>_xlfn.XLOOKUP(B246, 'Cust_inform'!A:A, 'Cust_inform'!D:D)</f>
        <v>25</v>
      </c>
      <c r="F246" t="str">
        <f>_xlfn.XLOOKUP(E246,Postcodes!A:A, Postcodes!B:B, "NOT FOUND")</f>
        <v>N</v>
      </c>
    </row>
    <row r="247" spans="1:6" x14ac:dyDescent="0.25">
      <c r="A247" s="1">
        <v>41646</v>
      </c>
      <c r="B247">
        <v>7</v>
      </c>
      <c r="C247">
        <v>207</v>
      </c>
      <c r="D247" t="str">
        <f>_xlfn.XLOOKUP(B247, 'Cust_inform'!A:A, 'Cust_inform'!E:E, "NOT FOUND")</f>
        <v>EMPLOYED</v>
      </c>
      <c r="E247">
        <f>_xlfn.XLOOKUP(B247, 'Cust_inform'!A:A, 'Cust_inform'!D:D)</f>
        <v>25</v>
      </c>
      <c r="F247" t="str">
        <f>_xlfn.XLOOKUP(E247,Postcodes!A:A, Postcodes!B:B, "NOT FOUND")</f>
        <v>N</v>
      </c>
    </row>
    <row r="248" spans="1:6" x14ac:dyDescent="0.25">
      <c r="A248" s="1">
        <v>41646</v>
      </c>
      <c r="B248">
        <v>7</v>
      </c>
      <c r="C248">
        <v>211</v>
      </c>
      <c r="D248" t="str">
        <f>_xlfn.XLOOKUP(B248, 'Cust_inform'!A:A, 'Cust_inform'!E:E, "NOT FOUND")</f>
        <v>EMPLOYED</v>
      </c>
      <c r="E248">
        <f>_xlfn.XLOOKUP(B248, 'Cust_inform'!A:A, 'Cust_inform'!D:D)</f>
        <v>25</v>
      </c>
      <c r="F248" t="str">
        <f>_xlfn.XLOOKUP(E248,Postcodes!A:A, Postcodes!B:B, "NOT FOUND")</f>
        <v>N</v>
      </c>
    </row>
    <row r="249" spans="1:6" x14ac:dyDescent="0.25">
      <c r="A249" s="1">
        <v>41647</v>
      </c>
      <c r="B249">
        <v>7</v>
      </c>
      <c r="C249">
        <v>209</v>
      </c>
      <c r="D249" t="str">
        <f>_xlfn.XLOOKUP(B249, 'Cust_inform'!A:A, 'Cust_inform'!E:E, "NOT FOUND")</f>
        <v>EMPLOYED</v>
      </c>
      <c r="E249">
        <f>_xlfn.XLOOKUP(B249, 'Cust_inform'!A:A, 'Cust_inform'!D:D)</f>
        <v>25</v>
      </c>
      <c r="F249" t="str">
        <f>_xlfn.XLOOKUP(E249,Postcodes!A:A, Postcodes!B:B, "NOT FOUND")</f>
        <v>N</v>
      </c>
    </row>
    <row r="250" spans="1:6" x14ac:dyDescent="0.25">
      <c r="A250" s="1">
        <v>41649</v>
      </c>
      <c r="B250">
        <v>7</v>
      </c>
      <c r="C250">
        <v>189</v>
      </c>
      <c r="D250" t="str">
        <f>_xlfn.XLOOKUP(B250, 'Cust_inform'!A:A, 'Cust_inform'!E:E, "NOT FOUND")</f>
        <v>EMPLOYED</v>
      </c>
      <c r="E250">
        <f>_xlfn.XLOOKUP(B250, 'Cust_inform'!A:A, 'Cust_inform'!D:D)</f>
        <v>25</v>
      </c>
      <c r="F250" t="str">
        <f>_xlfn.XLOOKUP(E250,Postcodes!A:A, Postcodes!B:B, "NOT FOUND")</f>
        <v>N</v>
      </c>
    </row>
    <row r="251" spans="1:6" x14ac:dyDescent="0.25">
      <c r="A251" s="1">
        <v>41649</v>
      </c>
      <c r="B251">
        <v>7</v>
      </c>
      <c r="C251">
        <v>223</v>
      </c>
      <c r="D251" t="str">
        <f>_xlfn.XLOOKUP(B251, 'Cust_inform'!A:A, 'Cust_inform'!E:E, "NOT FOUND")</f>
        <v>EMPLOYED</v>
      </c>
      <c r="E251">
        <f>_xlfn.XLOOKUP(B251, 'Cust_inform'!A:A, 'Cust_inform'!D:D)</f>
        <v>25</v>
      </c>
      <c r="F251" t="str">
        <f>_xlfn.XLOOKUP(E251,Postcodes!A:A, Postcodes!B:B, "NOT FOUND")</f>
        <v>N</v>
      </c>
    </row>
    <row r="252" spans="1:6" x14ac:dyDescent="0.25">
      <c r="A252" s="1">
        <v>41654</v>
      </c>
      <c r="B252">
        <v>7</v>
      </c>
      <c r="C252">
        <v>190</v>
      </c>
      <c r="D252" t="str">
        <f>_xlfn.XLOOKUP(B252, 'Cust_inform'!A:A, 'Cust_inform'!E:E, "NOT FOUND")</f>
        <v>EMPLOYED</v>
      </c>
      <c r="E252">
        <f>_xlfn.XLOOKUP(B252, 'Cust_inform'!A:A, 'Cust_inform'!D:D)</f>
        <v>25</v>
      </c>
      <c r="F252" t="str">
        <f>_xlfn.XLOOKUP(E252,Postcodes!A:A, Postcodes!B:B, "NOT FOUND")</f>
        <v>N</v>
      </c>
    </row>
    <row r="253" spans="1:6" x14ac:dyDescent="0.25">
      <c r="A253" s="1">
        <v>41654</v>
      </c>
      <c r="B253">
        <v>7</v>
      </c>
      <c r="C253">
        <v>184</v>
      </c>
      <c r="D253" t="str">
        <f>_xlfn.XLOOKUP(B253, 'Cust_inform'!A:A, 'Cust_inform'!E:E, "NOT FOUND")</f>
        <v>EMPLOYED</v>
      </c>
      <c r="E253">
        <f>_xlfn.XLOOKUP(B253, 'Cust_inform'!A:A, 'Cust_inform'!D:D)</f>
        <v>25</v>
      </c>
      <c r="F253" t="str">
        <f>_xlfn.XLOOKUP(E253,Postcodes!A:A, Postcodes!B:B, "NOT FOUND")</f>
        <v>N</v>
      </c>
    </row>
    <row r="254" spans="1:6" x14ac:dyDescent="0.25">
      <c r="A254" s="1">
        <v>41670</v>
      </c>
      <c r="B254">
        <v>7</v>
      </c>
      <c r="C254">
        <v>191</v>
      </c>
      <c r="D254" t="str">
        <f>_xlfn.XLOOKUP(B254, 'Cust_inform'!A:A, 'Cust_inform'!E:E, "NOT FOUND")</f>
        <v>EMPLOYED</v>
      </c>
      <c r="E254">
        <f>_xlfn.XLOOKUP(B254, 'Cust_inform'!A:A, 'Cust_inform'!D:D)</f>
        <v>25</v>
      </c>
      <c r="F254" t="str">
        <f>_xlfn.XLOOKUP(E254,Postcodes!A:A, Postcodes!B:B, "NOT FOUND")</f>
        <v>N</v>
      </c>
    </row>
    <row r="255" spans="1:6" x14ac:dyDescent="0.25">
      <c r="A255" s="1">
        <v>41670</v>
      </c>
      <c r="B255">
        <v>7</v>
      </c>
      <c r="C255">
        <v>203</v>
      </c>
      <c r="D255" t="str">
        <f>_xlfn.XLOOKUP(B255, 'Cust_inform'!A:A, 'Cust_inform'!E:E, "NOT FOUND")</f>
        <v>EMPLOYED</v>
      </c>
      <c r="E255">
        <f>_xlfn.XLOOKUP(B255, 'Cust_inform'!A:A, 'Cust_inform'!D:D)</f>
        <v>25</v>
      </c>
      <c r="F255" t="str">
        <f>_xlfn.XLOOKUP(E255,Postcodes!A:A, Postcodes!B:B, "NOT FOUND")</f>
        <v>N</v>
      </c>
    </row>
    <row r="256" spans="1:6" x14ac:dyDescent="0.25">
      <c r="A256" s="1">
        <v>41679</v>
      </c>
      <c r="B256">
        <v>7</v>
      </c>
      <c r="C256">
        <v>208</v>
      </c>
      <c r="D256" t="str">
        <f>_xlfn.XLOOKUP(B256, 'Cust_inform'!A:A, 'Cust_inform'!E:E, "NOT FOUND")</f>
        <v>EMPLOYED</v>
      </c>
      <c r="E256">
        <f>_xlfn.XLOOKUP(B256, 'Cust_inform'!A:A, 'Cust_inform'!D:D)</f>
        <v>25</v>
      </c>
      <c r="F256" t="str">
        <f>_xlfn.XLOOKUP(E256,Postcodes!A:A, Postcodes!B:B, "NOT FOUND")</f>
        <v>N</v>
      </c>
    </row>
    <row r="257" spans="1:6" x14ac:dyDescent="0.25">
      <c r="A257" s="1">
        <v>41685</v>
      </c>
      <c r="B257">
        <v>7</v>
      </c>
      <c r="C257">
        <v>189</v>
      </c>
      <c r="D257" t="str">
        <f>_xlfn.XLOOKUP(B257, 'Cust_inform'!A:A, 'Cust_inform'!E:E, "NOT FOUND")</f>
        <v>EMPLOYED</v>
      </c>
      <c r="E257">
        <f>_xlfn.XLOOKUP(B257, 'Cust_inform'!A:A, 'Cust_inform'!D:D)</f>
        <v>25</v>
      </c>
      <c r="F257" t="str">
        <f>_xlfn.XLOOKUP(E257,Postcodes!A:A, Postcodes!B:B, "NOT FOUND")</f>
        <v>N</v>
      </c>
    </row>
    <row r="258" spans="1:6" x14ac:dyDescent="0.25">
      <c r="A258" s="1">
        <v>41685</v>
      </c>
      <c r="B258">
        <v>7</v>
      </c>
      <c r="C258">
        <v>173</v>
      </c>
      <c r="D258" t="str">
        <f>_xlfn.XLOOKUP(B258, 'Cust_inform'!A:A, 'Cust_inform'!E:E, "NOT FOUND")</f>
        <v>EMPLOYED</v>
      </c>
      <c r="E258">
        <f>_xlfn.XLOOKUP(B258, 'Cust_inform'!A:A, 'Cust_inform'!D:D)</f>
        <v>25</v>
      </c>
      <c r="F258" t="str">
        <f>_xlfn.XLOOKUP(E258,Postcodes!A:A, Postcodes!B:B, "NOT FOUND")</f>
        <v>N</v>
      </c>
    </row>
    <row r="259" spans="1:6" x14ac:dyDescent="0.25">
      <c r="A259" s="1">
        <v>41685</v>
      </c>
      <c r="B259">
        <v>7</v>
      </c>
      <c r="C259">
        <v>202</v>
      </c>
      <c r="D259" t="str">
        <f>_xlfn.XLOOKUP(B259, 'Cust_inform'!A:A, 'Cust_inform'!E:E, "NOT FOUND")</f>
        <v>EMPLOYED</v>
      </c>
      <c r="E259">
        <f>_xlfn.XLOOKUP(B259, 'Cust_inform'!A:A, 'Cust_inform'!D:D)</f>
        <v>25</v>
      </c>
      <c r="F259" t="str">
        <f>_xlfn.XLOOKUP(E259,Postcodes!A:A, Postcodes!B:B, "NOT FOUND")</f>
        <v>N</v>
      </c>
    </row>
    <row r="260" spans="1:6" x14ac:dyDescent="0.25">
      <c r="A260" s="1">
        <v>41687</v>
      </c>
      <c r="B260">
        <v>7</v>
      </c>
      <c r="C260">
        <v>200</v>
      </c>
      <c r="D260" t="str">
        <f>_xlfn.XLOOKUP(B260, 'Cust_inform'!A:A, 'Cust_inform'!E:E, "NOT FOUND")</f>
        <v>EMPLOYED</v>
      </c>
      <c r="E260">
        <f>_xlfn.XLOOKUP(B260, 'Cust_inform'!A:A, 'Cust_inform'!D:D)</f>
        <v>25</v>
      </c>
      <c r="F260" t="str">
        <f>_xlfn.XLOOKUP(E260,Postcodes!A:A, Postcodes!B:B, "NOT FOUND")</f>
        <v>N</v>
      </c>
    </row>
    <row r="261" spans="1:6" x14ac:dyDescent="0.25">
      <c r="A261" s="1">
        <v>41691</v>
      </c>
      <c r="B261">
        <v>7</v>
      </c>
      <c r="C261">
        <v>202</v>
      </c>
      <c r="D261" t="str">
        <f>_xlfn.XLOOKUP(B261, 'Cust_inform'!A:A, 'Cust_inform'!E:E, "NOT FOUND")</f>
        <v>EMPLOYED</v>
      </c>
      <c r="E261">
        <f>_xlfn.XLOOKUP(B261, 'Cust_inform'!A:A, 'Cust_inform'!D:D)</f>
        <v>25</v>
      </c>
      <c r="F261" t="str">
        <f>_xlfn.XLOOKUP(E261,Postcodes!A:A, Postcodes!B:B, "NOT FOUND")</f>
        <v>N</v>
      </c>
    </row>
    <row r="262" spans="1:6" x14ac:dyDescent="0.25">
      <c r="A262" s="1">
        <v>41694</v>
      </c>
      <c r="B262">
        <v>7</v>
      </c>
      <c r="C262">
        <v>198</v>
      </c>
      <c r="D262" t="str">
        <f>_xlfn.XLOOKUP(B262, 'Cust_inform'!A:A, 'Cust_inform'!E:E, "NOT FOUND")</f>
        <v>EMPLOYED</v>
      </c>
      <c r="E262">
        <f>_xlfn.XLOOKUP(B262, 'Cust_inform'!A:A, 'Cust_inform'!D:D)</f>
        <v>25</v>
      </c>
      <c r="F262" t="str">
        <f>_xlfn.XLOOKUP(E262,Postcodes!A:A, Postcodes!B:B, "NOT FOUND")</f>
        <v>N</v>
      </c>
    </row>
    <row r="263" spans="1:6" x14ac:dyDescent="0.25">
      <c r="A263" s="1">
        <v>41702</v>
      </c>
      <c r="B263">
        <v>7</v>
      </c>
      <c r="C263">
        <v>220</v>
      </c>
      <c r="D263" t="str">
        <f>_xlfn.XLOOKUP(B263, 'Cust_inform'!A:A, 'Cust_inform'!E:E, "NOT FOUND")</f>
        <v>EMPLOYED</v>
      </c>
      <c r="E263">
        <f>_xlfn.XLOOKUP(B263, 'Cust_inform'!A:A, 'Cust_inform'!D:D)</f>
        <v>25</v>
      </c>
      <c r="F263" t="str">
        <f>_xlfn.XLOOKUP(E263,Postcodes!A:A, Postcodes!B:B, "NOT FOUND")</f>
        <v>N</v>
      </c>
    </row>
    <row r="264" spans="1:6" x14ac:dyDescent="0.25">
      <c r="A264" s="1">
        <v>41705</v>
      </c>
      <c r="B264">
        <v>7</v>
      </c>
      <c r="C264">
        <v>206</v>
      </c>
      <c r="D264" t="str">
        <f>_xlfn.XLOOKUP(B264, 'Cust_inform'!A:A, 'Cust_inform'!E:E, "NOT FOUND")</f>
        <v>EMPLOYED</v>
      </c>
      <c r="E264">
        <f>_xlfn.XLOOKUP(B264, 'Cust_inform'!A:A, 'Cust_inform'!D:D)</f>
        <v>25</v>
      </c>
      <c r="F264" t="str">
        <f>_xlfn.XLOOKUP(E264,Postcodes!A:A, Postcodes!B:B, "NOT FOUND")</f>
        <v>N</v>
      </c>
    </row>
    <row r="265" spans="1:6" x14ac:dyDescent="0.25">
      <c r="A265" s="1">
        <v>41710</v>
      </c>
      <c r="B265">
        <v>7</v>
      </c>
      <c r="C265">
        <v>200</v>
      </c>
      <c r="D265" t="str">
        <f>_xlfn.XLOOKUP(B265, 'Cust_inform'!A:A, 'Cust_inform'!E:E, "NOT FOUND")</f>
        <v>EMPLOYED</v>
      </c>
      <c r="E265">
        <f>_xlfn.XLOOKUP(B265, 'Cust_inform'!A:A, 'Cust_inform'!D:D)</f>
        <v>25</v>
      </c>
      <c r="F265" t="str">
        <f>_xlfn.XLOOKUP(E265,Postcodes!A:A, Postcodes!B:B, "NOT FOUND")</f>
        <v>N</v>
      </c>
    </row>
    <row r="266" spans="1:6" x14ac:dyDescent="0.25">
      <c r="A266" s="1">
        <v>41710</v>
      </c>
      <c r="B266">
        <v>7</v>
      </c>
      <c r="C266">
        <v>217</v>
      </c>
      <c r="D266" t="str">
        <f>_xlfn.XLOOKUP(B266, 'Cust_inform'!A:A, 'Cust_inform'!E:E, "NOT FOUND")</f>
        <v>EMPLOYED</v>
      </c>
      <c r="E266">
        <f>_xlfn.XLOOKUP(B266, 'Cust_inform'!A:A, 'Cust_inform'!D:D)</f>
        <v>25</v>
      </c>
      <c r="F266" t="str">
        <f>_xlfn.XLOOKUP(E266,Postcodes!A:A, Postcodes!B:B, "NOT FOUND")</f>
        <v>N</v>
      </c>
    </row>
    <row r="267" spans="1:6" x14ac:dyDescent="0.25">
      <c r="A267" s="1">
        <v>41722</v>
      </c>
      <c r="B267">
        <v>7</v>
      </c>
      <c r="C267">
        <v>196</v>
      </c>
      <c r="D267" t="str">
        <f>_xlfn.XLOOKUP(B267, 'Cust_inform'!A:A, 'Cust_inform'!E:E, "NOT FOUND")</f>
        <v>EMPLOYED</v>
      </c>
      <c r="E267">
        <f>_xlfn.XLOOKUP(B267, 'Cust_inform'!A:A, 'Cust_inform'!D:D)</f>
        <v>25</v>
      </c>
      <c r="F267" t="str">
        <f>_xlfn.XLOOKUP(E267,Postcodes!A:A, Postcodes!B:B, "NOT FOUND")</f>
        <v>N</v>
      </c>
    </row>
    <row r="268" spans="1:6" x14ac:dyDescent="0.25">
      <c r="A268" s="1">
        <v>41723</v>
      </c>
      <c r="B268">
        <v>7</v>
      </c>
      <c r="C268">
        <v>174</v>
      </c>
      <c r="D268" t="str">
        <f>_xlfn.XLOOKUP(B268, 'Cust_inform'!A:A, 'Cust_inform'!E:E, "NOT FOUND")</f>
        <v>EMPLOYED</v>
      </c>
      <c r="E268">
        <f>_xlfn.XLOOKUP(B268, 'Cust_inform'!A:A, 'Cust_inform'!D:D)</f>
        <v>25</v>
      </c>
      <c r="F268" t="str">
        <f>_xlfn.XLOOKUP(E268,Postcodes!A:A, Postcodes!B:B, "NOT FOUND")</f>
        <v>N</v>
      </c>
    </row>
    <row r="269" spans="1:6" x14ac:dyDescent="0.25">
      <c r="A269" s="1">
        <v>41725</v>
      </c>
      <c r="B269">
        <v>7</v>
      </c>
      <c r="C269">
        <v>187</v>
      </c>
      <c r="D269" t="str">
        <f>_xlfn.XLOOKUP(B269, 'Cust_inform'!A:A, 'Cust_inform'!E:E, "NOT FOUND")</f>
        <v>EMPLOYED</v>
      </c>
      <c r="E269">
        <f>_xlfn.XLOOKUP(B269, 'Cust_inform'!A:A, 'Cust_inform'!D:D)</f>
        <v>25</v>
      </c>
      <c r="F269" t="str">
        <f>_xlfn.XLOOKUP(E269,Postcodes!A:A, Postcodes!B:B, "NOT FOUND")</f>
        <v>N</v>
      </c>
    </row>
    <row r="270" spans="1:6" x14ac:dyDescent="0.25">
      <c r="A270" s="1">
        <v>41730</v>
      </c>
      <c r="B270">
        <v>7</v>
      </c>
      <c r="C270">
        <v>204</v>
      </c>
      <c r="D270" t="str">
        <f>_xlfn.XLOOKUP(B270, 'Cust_inform'!A:A, 'Cust_inform'!E:E, "NOT FOUND")</f>
        <v>EMPLOYED</v>
      </c>
      <c r="E270">
        <f>_xlfn.XLOOKUP(B270, 'Cust_inform'!A:A, 'Cust_inform'!D:D)</f>
        <v>25</v>
      </c>
      <c r="F270" t="str">
        <f>_xlfn.XLOOKUP(E270,Postcodes!A:A, Postcodes!B:B, "NOT FOUND")</f>
        <v>N</v>
      </c>
    </row>
    <row r="271" spans="1:6" x14ac:dyDescent="0.25">
      <c r="A271" s="1">
        <v>41730</v>
      </c>
      <c r="B271">
        <v>7</v>
      </c>
      <c r="C271">
        <v>205</v>
      </c>
      <c r="D271" t="str">
        <f>_xlfn.XLOOKUP(B271, 'Cust_inform'!A:A, 'Cust_inform'!E:E, "NOT FOUND")</f>
        <v>EMPLOYED</v>
      </c>
      <c r="E271">
        <f>_xlfn.XLOOKUP(B271, 'Cust_inform'!A:A, 'Cust_inform'!D:D)</f>
        <v>25</v>
      </c>
      <c r="F271" t="str">
        <f>_xlfn.XLOOKUP(E271,Postcodes!A:A, Postcodes!B:B, "NOT FOUND")</f>
        <v>N</v>
      </c>
    </row>
    <row r="272" spans="1:6" x14ac:dyDescent="0.25">
      <c r="A272" s="1">
        <v>41731</v>
      </c>
      <c r="B272">
        <v>7</v>
      </c>
      <c r="C272">
        <v>201</v>
      </c>
      <c r="D272" t="str">
        <f>_xlfn.XLOOKUP(B272, 'Cust_inform'!A:A, 'Cust_inform'!E:E, "NOT FOUND")</f>
        <v>EMPLOYED</v>
      </c>
      <c r="E272">
        <f>_xlfn.XLOOKUP(B272, 'Cust_inform'!A:A, 'Cust_inform'!D:D)</f>
        <v>25</v>
      </c>
      <c r="F272" t="str">
        <f>_xlfn.XLOOKUP(E272,Postcodes!A:A, Postcodes!B:B, "NOT FOUND")</f>
        <v>N</v>
      </c>
    </row>
    <row r="273" spans="1:6" x14ac:dyDescent="0.25">
      <c r="A273" s="1">
        <v>41736</v>
      </c>
      <c r="B273">
        <v>7</v>
      </c>
      <c r="C273">
        <v>173</v>
      </c>
      <c r="D273" t="str">
        <f>_xlfn.XLOOKUP(B273, 'Cust_inform'!A:A, 'Cust_inform'!E:E, "NOT FOUND")</f>
        <v>EMPLOYED</v>
      </c>
      <c r="E273">
        <f>_xlfn.XLOOKUP(B273, 'Cust_inform'!A:A, 'Cust_inform'!D:D)</f>
        <v>25</v>
      </c>
      <c r="F273" t="str">
        <f>_xlfn.XLOOKUP(E273,Postcodes!A:A, Postcodes!B:B, "NOT FOUND")</f>
        <v>N</v>
      </c>
    </row>
    <row r="274" spans="1:6" x14ac:dyDescent="0.25">
      <c r="A274" s="1">
        <v>41742</v>
      </c>
      <c r="B274">
        <v>7</v>
      </c>
      <c r="C274">
        <v>182</v>
      </c>
      <c r="D274" t="str">
        <f>_xlfn.XLOOKUP(B274, 'Cust_inform'!A:A, 'Cust_inform'!E:E, "NOT FOUND")</f>
        <v>EMPLOYED</v>
      </c>
      <c r="E274">
        <f>_xlfn.XLOOKUP(B274, 'Cust_inform'!A:A, 'Cust_inform'!D:D)</f>
        <v>25</v>
      </c>
      <c r="F274" t="str">
        <f>_xlfn.XLOOKUP(E274,Postcodes!A:A, Postcodes!B:B, "NOT FOUND")</f>
        <v>N</v>
      </c>
    </row>
    <row r="275" spans="1:6" x14ac:dyDescent="0.25">
      <c r="A275" s="1">
        <v>41746</v>
      </c>
      <c r="B275">
        <v>7</v>
      </c>
      <c r="C275">
        <v>213</v>
      </c>
      <c r="D275" t="str">
        <f>_xlfn.XLOOKUP(B275, 'Cust_inform'!A:A, 'Cust_inform'!E:E, "NOT FOUND")</f>
        <v>EMPLOYED</v>
      </c>
      <c r="E275">
        <f>_xlfn.XLOOKUP(B275, 'Cust_inform'!A:A, 'Cust_inform'!D:D)</f>
        <v>25</v>
      </c>
      <c r="F275" t="str">
        <f>_xlfn.XLOOKUP(E275,Postcodes!A:A, Postcodes!B:B, "NOT FOUND")</f>
        <v>N</v>
      </c>
    </row>
    <row r="276" spans="1:6" x14ac:dyDescent="0.25">
      <c r="A276" s="1">
        <v>41746</v>
      </c>
      <c r="B276">
        <v>7</v>
      </c>
      <c r="C276">
        <v>174</v>
      </c>
      <c r="D276" t="str">
        <f>_xlfn.XLOOKUP(B276, 'Cust_inform'!A:A, 'Cust_inform'!E:E, "NOT FOUND")</f>
        <v>EMPLOYED</v>
      </c>
      <c r="E276">
        <f>_xlfn.XLOOKUP(B276, 'Cust_inform'!A:A, 'Cust_inform'!D:D)</f>
        <v>25</v>
      </c>
      <c r="F276" t="str">
        <f>_xlfn.XLOOKUP(E276,Postcodes!A:A, Postcodes!B:B, "NOT FOUND")</f>
        <v>N</v>
      </c>
    </row>
    <row r="277" spans="1:6" x14ac:dyDescent="0.25">
      <c r="A277" s="1">
        <v>41747</v>
      </c>
      <c r="B277">
        <v>7</v>
      </c>
      <c r="C277">
        <v>198</v>
      </c>
      <c r="D277" t="str">
        <f>_xlfn.XLOOKUP(B277, 'Cust_inform'!A:A, 'Cust_inform'!E:E, "NOT FOUND")</f>
        <v>EMPLOYED</v>
      </c>
      <c r="E277">
        <f>_xlfn.XLOOKUP(B277, 'Cust_inform'!A:A, 'Cust_inform'!D:D)</f>
        <v>25</v>
      </c>
      <c r="F277" t="str">
        <f>_xlfn.XLOOKUP(E277,Postcodes!A:A, Postcodes!B:B, "NOT FOUND")</f>
        <v>N</v>
      </c>
    </row>
    <row r="278" spans="1:6" x14ac:dyDescent="0.25">
      <c r="A278" s="1">
        <v>41751</v>
      </c>
      <c r="B278">
        <v>7</v>
      </c>
      <c r="C278">
        <v>186</v>
      </c>
      <c r="D278" t="str">
        <f>_xlfn.XLOOKUP(B278, 'Cust_inform'!A:A, 'Cust_inform'!E:E, "NOT FOUND")</f>
        <v>EMPLOYED</v>
      </c>
      <c r="E278">
        <f>_xlfn.XLOOKUP(B278, 'Cust_inform'!A:A, 'Cust_inform'!D:D)</f>
        <v>25</v>
      </c>
      <c r="F278" t="str">
        <f>_xlfn.XLOOKUP(E278,Postcodes!A:A, Postcodes!B:B, "NOT FOUND")</f>
        <v>N</v>
      </c>
    </row>
    <row r="279" spans="1:6" x14ac:dyDescent="0.25">
      <c r="A279" s="1">
        <v>41752</v>
      </c>
      <c r="B279">
        <v>7</v>
      </c>
      <c r="C279">
        <v>204</v>
      </c>
      <c r="D279" t="str">
        <f>_xlfn.XLOOKUP(B279, 'Cust_inform'!A:A, 'Cust_inform'!E:E, "NOT FOUND")</f>
        <v>EMPLOYED</v>
      </c>
      <c r="E279">
        <f>_xlfn.XLOOKUP(B279, 'Cust_inform'!A:A, 'Cust_inform'!D:D)</f>
        <v>25</v>
      </c>
      <c r="F279" t="str">
        <f>_xlfn.XLOOKUP(E279,Postcodes!A:A, Postcodes!B:B, "NOT FOUND")</f>
        <v>N</v>
      </c>
    </row>
    <row r="280" spans="1:6" x14ac:dyDescent="0.25">
      <c r="A280" s="1">
        <v>41752</v>
      </c>
      <c r="B280">
        <v>7</v>
      </c>
      <c r="C280">
        <v>210</v>
      </c>
      <c r="D280" t="str">
        <f>_xlfn.XLOOKUP(B280, 'Cust_inform'!A:A, 'Cust_inform'!E:E, "NOT FOUND")</f>
        <v>EMPLOYED</v>
      </c>
      <c r="E280">
        <f>_xlfn.XLOOKUP(B280, 'Cust_inform'!A:A, 'Cust_inform'!D:D)</f>
        <v>25</v>
      </c>
      <c r="F280" t="str">
        <f>_xlfn.XLOOKUP(E280,Postcodes!A:A, Postcodes!B:B, "NOT FOUND")</f>
        <v>N</v>
      </c>
    </row>
    <row r="281" spans="1:6" x14ac:dyDescent="0.25">
      <c r="A281" s="1">
        <v>41764</v>
      </c>
      <c r="B281">
        <v>7</v>
      </c>
      <c r="C281">
        <v>211</v>
      </c>
      <c r="D281" t="str">
        <f>_xlfn.XLOOKUP(B281, 'Cust_inform'!A:A, 'Cust_inform'!E:E, "NOT FOUND")</f>
        <v>EMPLOYED</v>
      </c>
      <c r="E281">
        <f>_xlfn.XLOOKUP(B281, 'Cust_inform'!A:A, 'Cust_inform'!D:D)</f>
        <v>25</v>
      </c>
      <c r="F281" t="str">
        <f>_xlfn.XLOOKUP(E281,Postcodes!A:A, Postcodes!B:B, "NOT FOUND")</f>
        <v>N</v>
      </c>
    </row>
    <row r="282" spans="1:6" x14ac:dyDescent="0.25">
      <c r="A282" s="1">
        <v>41768</v>
      </c>
      <c r="B282">
        <v>7</v>
      </c>
      <c r="C282">
        <v>204</v>
      </c>
      <c r="D282" t="str">
        <f>_xlfn.XLOOKUP(B282, 'Cust_inform'!A:A, 'Cust_inform'!E:E, "NOT FOUND")</f>
        <v>EMPLOYED</v>
      </c>
      <c r="E282">
        <f>_xlfn.XLOOKUP(B282, 'Cust_inform'!A:A, 'Cust_inform'!D:D)</f>
        <v>25</v>
      </c>
      <c r="F282" t="str">
        <f>_xlfn.XLOOKUP(E282,Postcodes!A:A, Postcodes!B:B, "NOT FOUND")</f>
        <v>N</v>
      </c>
    </row>
    <row r="283" spans="1:6" x14ac:dyDescent="0.25">
      <c r="A283" s="1">
        <v>41776</v>
      </c>
      <c r="B283">
        <v>7</v>
      </c>
      <c r="C283">
        <v>199</v>
      </c>
      <c r="D283" t="str">
        <f>_xlfn.XLOOKUP(B283, 'Cust_inform'!A:A, 'Cust_inform'!E:E, "NOT FOUND")</f>
        <v>EMPLOYED</v>
      </c>
      <c r="E283">
        <f>_xlfn.XLOOKUP(B283, 'Cust_inform'!A:A, 'Cust_inform'!D:D)</f>
        <v>25</v>
      </c>
      <c r="F283" t="str">
        <f>_xlfn.XLOOKUP(E283,Postcodes!A:A, Postcodes!B:B, "NOT FOUND")</f>
        <v>N</v>
      </c>
    </row>
    <row r="284" spans="1:6" x14ac:dyDescent="0.25">
      <c r="A284" s="1">
        <v>41778</v>
      </c>
      <c r="B284">
        <v>7</v>
      </c>
      <c r="C284">
        <v>186</v>
      </c>
      <c r="D284" t="str">
        <f>_xlfn.XLOOKUP(B284, 'Cust_inform'!A:A, 'Cust_inform'!E:E, "NOT FOUND")</f>
        <v>EMPLOYED</v>
      </c>
      <c r="E284">
        <f>_xlfn.XLOOKUP(B284, 'Cust_inform'!A:A, 'Cust_inform'!D:D)</f>
        <v>25</v>
      </c>
      <c r="F284" t="str">
        <f>_xlfn.XLOOKUP(E284,Postcodes!A:A, Postcodes!B:B, "NOT FOUND")</f>
        <v>N</v>
      </c>
    </row>
    <row r="285" spans="1:6" x14ac:dyDescent="0.25">
      <c r="A285" s="1">
        <v>41784</v>
      </c>
      <c r="B285">
        <v>7</v>
      </c>
      <c r="C285">
        <v>200</v>
      </c>
      <c r="D285" t="str">
        <f>_xlfn.XLOOKUP(B285, 'Cust_inform'!A:A, 'Cust_inform'!E:E, "NOT FOUND")</f>
        <v>EMPLOYED</v>
      </c>
      <c r="E285">
        <f>_xlfn.XLOOKUP(B285, 'Cust_inform'!A:A, 'Cust_inform'!D:D)</f>
        <v>25</v>
      </c>
      <c r="F285" t="str">
        <f>_xlfn.XLOOKUP(E285,Postcodes!A:A, Postcodes!B:B, "NOT FOUND")</f>
        <v>N</v>
      </c>
    </row>
    <row r="286" spans="1:6" x14ac:dyDescent="0.25">
      <c r="A286" s="1">
        <v>41786</v>
      </c>
      <c r="B286">
        <v>7</v>
      </c>
      <c r="C286">
        <v>191</v>
      </c>
      <c r="D286" t="str">
        <f>_xlfn.XLOOKUP(B286, 'Cust_inform'!A:A, 'Cust_inform'!E:E, "NOT FOUND")</f>
        <v>EMPLOYED</v>
      </c>
      <c r="E286">
        <f>_xlfn.XLOOKUP(B286, 'Cust_inform'!A:A, 'Cust_inform'!D:D)</f>
        <v>25</v>
      </c>
      <c r="F286" t="str">
        <f>_xlfn.XLOOKUP(E286,Postcodes!A:A, Postcodes!B:B, "NOT FOUND")</f>
        <v>N</v>
      </c>
    </row>
    <row r="287" spans="1:6" x14ac:dyDescent="0.25">
      <c r="A287" s="1">
        <v>41789</v>
      </c>
      <c r="B287">
        <v>7</v>
      </c>
      <c r="C287">
        <v>177</v>
      </c>
      <c r="D287" t="str">
        <f>_xlfn.XLOOKUP(B287, 'Cust_inform'!A:A, 'Cust_inform'!E:E, "NOT FOUND")</f>
        <v>EMPLOYED</v>
      </c>
      <c r="E287">
        <f>_xlfn.XLOOKUP(B287, 'Cust_inform'!A:A, 'Cust_inform'!D:D)</f>
        <v>25</v>
      </c>
      <c r="F287" t="str">
        <f>_xlfn.XLOOKUP(E287,Postcodes!A:A, Postcodes!B:B, "NOT FOUND")</f>
        <v>N</v>
      </c>
    </row>
    <row r="288" spans="1:6" x14ac:dyDescent="0.25">
      <c r="A288" s="1">
        <v>41795</v>
      </c>
      <c r="B288">
        <v>7</v>
      </c>
      <c r="C288">
        <v>199</v>
      </c>
      <c r="D288" t="str">
        <f>_xlfn.XLOOKUP(B288, 'Cust_inform'!A:A, 'Cust_inform'!E:E, "NOT FOUND")</f>
        <v>EMPLOYED</v>
      </c>
      <c r="E288">
        <f>_xlfn.XLOOKUP(B288, 'Cust_inform'!A:A, 'Cust_inform'!D:D)</f>
        <v>25</v>
      </c>
      <c r="F288" t="str">
        <f>_xlfn.XLOOKUP(E288,Postcodes!A:A, Postcodes!B:B, "NOT FOUND")</f>
        <v>N</v>
      </c>
    </row>
    <row r="289" spans="1:6" x14ac:dyDescent="0.25">
      <c r="A289" s="1">
        <v>41802</v>
      </c>
      <c r="B289">
        <v>7</v>
      </c>
      <c r="C289">
        <v>199</v>
      </c>
      <c r="D289" t="str">
        <f>_xlfn.XLOOKUP(B289, 'Cust_inform'!A:A, 'Cust_inform'!E:E, "NOT FOUND")</f>
        <v>EMPLOYED</v>
      </c>
      <c r="E289">
        <f>_xlfn.XLOOKUP(B289, 'Cust_inform'!A:A, 'Cust_inform'!D:D)</f>
        <v>25</v>
      </c>
      <c r="F289" t="str">
        <f>_xlfn.XLOOKUP(E289,Postcodes!A:A, Postcodes!B:B, "NOT FOUND")</f>
        <v>N</v>
      </c>
    </row>
    <row r="290" spans="1:6" x14ac:dyDescent="0.25">
      <c r="A290" s="1">
        <v>41803</v>
      </c>
      <c r="B290">
        <v>7</v>
      </c>
      <c r="C290">
        <v>178</v>
      </c>
      <c r="D290" t="str">
        <f>_xlfn.XLOOKUP(B290, 'Cust_inform'!A:A, 'Cust_inform'!E:E, "NOT FOUND")</f>
        <v>EMPLOYED</v>
      </c>
      <c r="E290">
        <f>_xlfn.XLOOKUP(B290, 'Cust_inform'!A:A, 'Cust_inform'!D:D)</f>
        <v>25</v>
      </c>
      <c r="F290" t="str">
        <f>_xlfn.XLOOKUP(E290,Postcodes!A:A, Postcodes!B:B, "NOT FOUND")</f>
        <v>N</v>
      </c>
    </row>
    <row r="291" spans="1:6" x14ac:dyDescent="0.25">
      <c r="A291" s="1">
        <v>41814</v>
      </c>
      <c r="B291">
        <v>7</v>
      </c>
      <c r="C291">
        <v>175</v>
      </c>
      <c r="D291" t="str">
        <f>_xlfn.XLOOKUP(B291, 'Cust_inform'!A:A, 'Cust_inform'!E:E, "NOT FOUND")</f>
        <v>EMPLOYED</v>
      </c>
      <c r="E291">
        <f>_xlfn.XLOOKUP(B291, 'Cust_inform'!A:A, 'Cust_inform'!D:D)</f>
        <v>25</v>
      </c>
      <c r="F291" t="str">
        <f>_xlfn.XLOOKUP(E291,Postcodes!A:A, Postcodes!B:B, "NOT FOUND")</f>
        <v>N</v>
      </c>
    </row>
    <row r="292" spans="1:6" x14ac:dyDescent="0.25">
      <c r="A292" s="1">
        <v>41685</v>
      </c>
      <c r="B292">
        <v>8</v>
      </c>
      <c r="C292">
        <v>444</v>
      </c>
      <c r="D292" t="str">
        <f>_xlfn.XLOOKUP(B292, 'Cust_inform'!A:A, 'Cust_inform'!E:E, "NOT FOUND")</f>
        <v>UNEMPLOYED</v>
      </c>
      <c r="E292">
        <f>_xlfn.XLOOKUP(B292, 'Cust_inform'!A:A, 'Cust_inform'!D:D)</f>
        <v>12</v>
      </c>
      <c r="F292" t="str">
        <f>_xlfn.XLOOKUP(E292,Postcodes!A:A, Postcodes!B:B, "NOT FOUND")</f>
        <v>W</v>
      </c>
    </row>
    <row r="293" spans="1:6" x14ac:dyDescent="0.25">
      <c r="A293" s="1">
        <v>41687</v>
      </c>
      <c r="B293">
        <v>8</v>
      </c>
      <c r="C293">
        <v>383</v>
      </c>
      <c r="D293" t="str">
        <f>_xlfn.XLOOKUP(B293, 'Cust_inform'!A:A, 'Cust_inform'!E:E, "NOT FOUND")</f>
        <v>UNEMPLOYED</v>
      </c>
      <c r="E293">
        <f>_xlfn.XLOOKUP(B293, 'Cust_inform'!A:A, 'Cust_inform'!D:D)</f>
        <v>12</v>
      </c>
      <c r="F293" t="str">
        <f>_xlfn.XLOOKUP(E293,Postcodes!A:A, Postcodes!B:B, "NOT FOUND")</f>
        <v>W</v>
      </c>
    </row>
    <row r="294" spans="1:6" x14ac:dyDescent="0.25">
      <c r="A294" s="1">
        <v>41694</v>
      </c>
      <c r="B294">
        <v>8</v>
      </c>
      <c r="C294">
        <v>404</v>
      </c>
      <c r="D294" t="str">
        <f>_xlfn.XLOOKUP(B294, 'Cust_inform'!A:A, 'Cust_inform'!E:E, "NOT FOUND")</f>
        <v>UNEMPLOYED</v>
      </c>
      <c r="E294">
        <f>_xlfn.XLOOKUP(B294, 'Cust_inform'!A:A, 'Cust_inform'!D:D)</f>
        <v>12</v>
      </c>
      <c r="F294" t="str">
        <f>_xlfn.XLOOKUP(E294,Postcodes!A:A, Postcodes!B:B, "NOT FOUND")</f>
        <v>W</v>
      </c>
    </row>
    <row r="295" spans="1:6" x14ac:dyDescent="0.25">
      <c r="A295" s="1">
        <v>41700</v>
      </c>
      <c r="B295">
        <v>8</v>
      </c>
      <c r="C295">
        <v>420</v>
      </c>
      <c r="D295" t="str">
        <f>_xlfn.XLOOKUP(B295, 'Cust_inform'!A:A, 'Cust_inform'!E:E, "NOT FOUND")</f>
        <v>UNEMPLOYED</v>
      </c>
      <c r="E295">
        <f>_xlfn.XLOOKUP(B295, 'Cust_inform'!A:A, 'Cust_inform'!D:D)</f>
        <v>12</v>
      </c>
      <c r="F295" t="str">
        <f>_xlfn.XLOOKUP(E295,Postcodes!A:A, Postcodes!B:B, "NOT FOUND")</f>
        <v>W</v>
      </c>
    </row>
    <row r="296" spans="1:6" x14ac:dyDescent="0.25">
      <c r="A296" s="1">
        <v>41710</v>
      </c>
      <c r="B296">
        <v>8</v>
      </c>
      <c r="C296">
        <v>365</v>
      </c>
      <c r="D296" t="str">
        <f>_xlfn.XLOOKUP(B296, 'Cust_inform'!A:A, 'Cust_inform'!E:E, "NOT FOUND")</f>
        <v>UNEMPLOYED</v>
      </c>
      <c r="E296">
        <f>_xlfn.XLOOKUP(B296, 'Cust_inform'!A:A, 'Cust_inform'!D:D)</f>
        <v>12</v>
      </c>
      <c r="F296" t="str">
        <f>_xlfn.XLOOKUP(E296,Postcodes!A:A, Postcodes!B:B, "NOT FOUND")</f>
        <v>W</v>
      </c>
    </row>
    <row r="297" spans="1:6" x14ac:dyDescent="0.25">
      <c r="A297" s="1">
        <v>41712</v>
      </c>
      <c r="B297">
        <v>8</v>
      </c>
      <c r="C297">
        <v>444</v>
      </c>
      <c r="D297" t="str">
        <f>_xlfn.XLOOKUP(B297, 'Cust_inform'!A:A, 'Cust_inform'!E:E, "NOT FOUND")</f>
        <v>UNEMPLOYED</v>
      </c>
      <c r="E297">
        <f>_xlfn.XLOOKUP(B297, 'Cust_inform'!A:A, 'Cust_inform'!D:D)</f>
        <v>12</v>
      </c>
      <c r="F297" t="str">
        <f>_xlfn.XLOOKUP(E297,Postcodes!A:A, Postcodes!B:B, "NOT FOUND")</f>
        <v>W</v>
      </c>
    </row>
    <row r="298" spans="1:6" x14ac:dyDescent="0.25">
      <c r="A298" s="1">
        <v>41747</v>
      </c>
      <c r="B298">
        <v>8</v>
      </c>
      <c r="C298">
        <v>393</v>
      </c>
      <c r="D298" t="str">
        <f>_xlfn.XLOOKUP(B298, 'Cust_inform'!A:A, 'Cust_inform'!E:E, "NOT FOUND")</f>
        <v>UNEMPLOYED</v>
      </c>
      <c r="E298">
        <f>_xlfn.XLOOKUP(B298, 'Cust_inform'!A:A, 'Cust_inform'!D:D)</f>
        <v>12</v>
      </c>
      <c r="F298" t="str">
        <f>_xlfn.XLOOKUP(E298,Postcodes!A:A, Postcodes!B:B, "NOT FOUND")</f>
        <v>W</v>
      </c>
    </row>
    <row r="299" spans="1:6" x14ac:dyDescent="0.25">
      <c r="A299" s="1">
        <v>41751</v>
      </c>
      <c r="B299">
        <v>8</v>
      </c>
      <c r="C299">
        <v>371</v>
      </c>
      <c r="D299" t="str">
        <f>_xlfn.XLOOKUP(B299, 'Cust_inform'!A:A, 'Cust_inform'!E:E, "NOT FOUND")</f>
        <v>UNEMPLOYED</v>
      </c>
      <c r="E299">
        <f>_xlfn.XLOOKUP(B299, 'Cust_inform'!A:A, 'Cust_inform'!D:D)</f>
        <v>12</v>
      </c>
      <c r="F299" t="str">
        <f>_xlfn.XLOOKUP(E299,Postcodes!A:A, Postcodes!B:B, "NOT FOUND")</f>
        <v>W</v>
      </c>
    </row>
    <row r="300" spans="1:6" x14ac:dyDescent="0.25">
      <c r="A300" s="1">
        <v>41758</v>
      </c>
      <c r="B300">
        <v>8</v>
      </c>
      <c r="C300">
        <v>449</v>
      </c>
      <c r="D300" t="str">
        <f>_xlfn.XLOOKUP(B300, 'Cust_inform'!A:A, 'Cust_inform'!E:E, "NOT FOUND")</f>
        <v>UNEMPLOYED</v>
      </c>
      <c r="E300">
        <f>_xlfn.XLOOKUP(B300, 'Cust_inform'!A:A, 'Cust_inform'!D:D)</f>
        <v>12</v>
      </c>
      <c r="F300" t="str">
        <f>_xlfn.XLOOKUP(E300,Postcodes!A:A, Postcodes!B:B, "NOT FOUND")</f>
        <v>W</v>
      </c>
    </row>
    <row r="301" spans="1:6" x14ac:dyDescent="0.25">
      <c r="A301" s="1">
        <v>41767</v>
      </c>
      <c r="B301">
        <v>8</v>
      </c>
      <c r="C301">
        <v>392</v>
      </c>
      <c r="D301" t="str">
        <f>_xlfn.XLOOKUP(B301, 'Cust_inform'!A:A, 'Cust_inform'!E:E, "NOT FOUND")</f>
        <v>UNEMPLOYED</v>
      </c>
      <c r="E301">
        <f>_xlfn.XLOOKUP(B301, 'Cust_inform'!A:A, 'Cust_inform'!D:D)</f>
        <v>12</v>
      </c>
      <c r="F301" t="str">
        <f>_xlfn.XLOOKUP(E301,Postcodes!A:A, Postcodes!B:B, "NOT FOUND")</f>
        <v>W</v>
      </c>
    </row>
    <row r="302" spans="1:6" x14ac:dyDescent="0.25">
      <c r="A302" s="1">
        <v>41770</v>
      </c>
      <c r="B302">
        <v>8</v>
      </c>
      <c r="C302">
        <v>391</v>
      </c>
      <c r="D302" t="str">
        <f>_xlfn.XLOOKUP(B302, 'Cust_inform'!A:A, 'Cust_inform'!E:E, "NOT FOUND")</f>
        <v>UNEMPLOYED</v>
      </c>
      <c r="E302">
        <f>_xlfn.XLOOKUP(B302, 'Cust_inform'!A:A, 'Cust_inform'!D:D)</f>
        <v>12</v>
      </c>
      <c r="F302" t="str">
        <f>_xlfn.XLOOKUP(E302,Postcodes!A:A, Postcodes!B:B, "NOT FOUND")</f>
        <v>W</v>
      </c>
    </row>
    <row r="303" spans="1:6" x14ac:dyDescent="0.25">
      <c r="A303" s="1">
        <v>41776</v>
      </c>
      <c r="B303">
        <v>8</v>
      </c>
      <c r="C303">
        <v>409</v>
      </c>
      <c r="D303" t="str">
        <f>_xlfn.XLOOKUP(B303, 'Cust_inform'!A:A, 'Cust_inform'!E:E, "NOT FOUND")</f>
        <v>UNEMPLOYED</v>
      </c>
      <c r="E303">
        <f>_xlfn.XLOOKUP(B303, 'Cust_inform'!A:A, 'Cust_inform'!D:D)</f>
        <v>12</v>
      </c>
      <c r="F303" t="str">
        <f>_xlfn.XLOOKUP(E303,Postcodes!A:A, Postcodes!B:B, "NOT FOUND")</f>
        <v>W</v>
      </c>
    </row>
    <row r="304" spans="1:6" x14ac:dyDescent="0.25">
      <c r="A304" s="1">
        <v>41795</v>
      </c>
      <c r="B304">
        <v>8</v>
      </c>
      <c r="C304">
        <v>367</v>
      </c>
      <c r="D304" t="str">
        <f>_xlfn.XLOOKUP(B304, 'Cust_inform'!A:A, 'Cust_inform'!E:E, "NOT FOUND")</f>
        <v>UNEMPLOYED</v>
      </c>
      <c r="E304">
        <f>_xlfn.XLOOKUP(B304, 'Cust_inform'!A:A, 'Cust_inform'!D:D)</f>
        <v>12</v>
      </c>
      <c r="F304" t="str">
        <f>_xlfn.XLOOKUP(E304,Postcodes!A:A, Postcodes!B:B, "NOT FOUND")</f>
        <v>W</v>
      </c>
    </row>
    <row r="305" spans="1:6" x14ac:dyDescent="0.25">
      <c r="A305" s="1">
        <v>41806</v>
      </c>
      <c r="B305">
        <v>8</v>
      </c>
      <c r="C305">
        <v>416</v>
      </c>
      <c r="D305" t="str">
        <f>_xlfn.XLOOKUP(B305, 'Cust_inform'!A:A, 'Cust_inform'!E:E, "NOT FOUND")</f>
        <v>UNEMPLOYED</v>
      </c>
      <c r="E305">
        <f>_xlfn.XLOOKUP(B305, 'Cust_inform'!A:A, 'Cust_inform'!D:D)</f>
        <v>12</v>
      </c>
      <c r="F305" t="str">
        <f>_xlfn.XLOOKUP(E305,Postcodes!A:A, Postcodes!B:B, "NOT FOUND")</f>
        <v>W</v>
      </c>
    </row>
    <row r="306" spans="1:6" x14ac:dyDescent="0.25">
      <c r="A306" s="1">
        <v>41812</v>
      </c>
      <c r="B306">
        <v>8</v>
      </c>
      <c r="C306">
        <v>409</v>
      </c>
      <c r="D306" t="str">
        <f>_xlfn.XLOOKUP(B306, 'Cust_inform'!A:A, 'Cust_inform'!E:E, "NOT FOUND")</f>
        <v>UNEMPLOYED</v>
      </c>
      <c r="E306">
        <f>_xlfn.XLOOKUP(B306, 'Cust_inform'!A:A, 'Cust_inform'!D:D)</f>
        <v>12</v>
      </c>
      <c r="F306" t="str">
        <f>_xlfn.XLOOKUP(E306,Postcodes!A:A, Postcodes!B:B, "NOT FOUND")</f>
        <v>W</v>
      </c>
    </row>
    <row r="307" spans="1:6" x14ac:dyDescent="0.25">
      <c r="A307" s="1">
        <v>41617</v>
      </c>
      <c r="B307">
        <v>9</v>
      </c>
      <c r="C307">
        <v>401</v>
      </c>
      <c r="D307" t="str">
        <f>_xlfn.XLOOKUP(B307, 'Cust_inform'!A:A, 'Cust_inform'!E:E, "NOT FOUND")</f>
        <v>UNEMPLOYED</v>
      </c>
      <c r="E307">
        <f>_xlfn.XLOOKUP(B307, 'Cust_inform'!A:A, 'Cust_inform'!D:D)</f>
        <v>16</v>
      </c>
      <c r="F307" t="str">
        <f>_xlfn.XLOOKUP(E307,Postcodes!A:A, Postcodes!B:B, "NOT FOUND")</f>
        <v>S</v>
      </c>
    </row>
    <row r="308" spans="1:6" x14ac:dyDescent="0.25">
      <c r="A308" s="1">
        <v>41618</v>
      </c>
      <c r="B308">
        <v>9</v>
      </c>
      <c r="C308">
        <v>504</v>
      </c>
      <c r="D308" t="str">
        <f>_xlfn.XLOOKUP(B308, 'Cust_inform'!A:A, 'Cust_inform'!E:E, "NOT FOUND")</f>
        <v>UNEMPLOYED</v>
      </c>
      <c r="E308">
        <f>_xlfn.XLOOKUP(B308, 'Cust_inform'!A:A, 'Cust_inform'!D:D)</f>
        <v>16</v>
      </c>
      <c r="F308" t="str">
        <f>_xlfn.XLOOKUP(E308,Postcodes!A:A, Postcodes!B:B, "NOT FOUND")</f>
        <v>S</v>
      </c>
    </row>
    <row r="309" spans="1:6" x14ac:dyDescent="0.25">
      <c r="A309" s="1">
        <v>41618</v>
      </c>
      <c r="B309">
        <v>9</v>
      </c>
      <c r="C309">
        <v>507</v>
      </c>
      <c r="D309" t="str">
        <f>_xlfn.XLOOKUP(B309, 'Cust_inform'!A:A, 'Cust_inform'!E:E, "NOT FOUND")</f>
        <v>UNEMPLOYED</v>
      </c>
      <c r="E309">
        <f>_xlfn.XLOOKUP(B309, 'Cust_inform'!A:A, 'Cust_inform'!D:D)</f>
        <v>16</v>
      </c>
      <c r="F309" t="str">
        <f>_xlfn.XLOOKUP(E309,Postcodes!A:A, Postcodes!B:B, "NOT FOUND")</f>
        <v>S</v>
      </c>
    </row>
    <row r="310" spans="1:6" x14ac:dyDescent="0.25">
      <c r="A310" s="1">
        <v>41622</v>
      </c>
      <c r="B310">
        <v>9</v>
      </c>
      <c r="C310">
        <v>428</v>
      </c>
      <c r="D310" t="str">
        <f>_xlfn.XLOOKUP(B310, 'Cust_inform'!A:A, 'Cust_inform'!E:E, "NOT FOUND")</f>
        <v>UNEMPLOYED</v>
      </c>
      <c r="E310">
        <f>_xlfn.XLOOKUP(B310, 'Cust_inform'!A:A, 'Cust_inform'!D:D)</f>
        <v>16</v>
      </c>
      <c r="F310" t="str">
        <f>_xlfn.XLOOKUP(E310,Postcodes!A:A, Postcodes!B:B, "NOT FOUND")</f>
        <v>S</v>
      </c>
    </row>
    <row r="311" spans="1:6" x14ac:dyDescent="0.25">
      <c r="A311" s="1">
        <v>41623</v>
      </c>
      <c r="B311">
        <v>9</v>
      </c>
      <c r="C311">
        <v>458</v>
      </c>
      <c r="D311" t="str">
        <f>_xlfn.XLOOKUP(B311, 'Cust_inform'!A:A, 'Cust_inform'!E:E, "NOT FOUND")</f>
        <v>UNEMPLOYED</v>
      </c>
      <c r="E311">
        <f>_xlfn.XLOOKUP(B311, 'Cust_inform'!A:A, 'Cust_inform'!D:D)</f>
        <v>16</v>
      </c>
      <c r="F311" t="str">
        <f>_xlfn.XLOOKUP(E311,Postcodes!A:A, Postcodes!B:B, "NOT FOUND")</f>
        <v>S</v>
      </c>
    </row>
    <row r="312" spans="1:6" x14ac:dyDescent="0.25">
      <c r="A312" s="1">
        <v>41628</v>
      </c>
      <c r="B312">
        <v>9</v>
      </c>
      <c r="C312">
        <v>399</v>
      </c>
      <c r="D312" t="str">
        <f>_xlfn.XLOOKUP(B312, 'Cust_inform'!A:A, 'Cust_inform'!E:E, "NOT FOUND")</f>
        <v>UNEMPLOYED</v>
      </c>
      <c r="E312">
        <f>_xlfn.XLOOKUP(B312, 'Cust_inform'!A:A, 'Cust_inform'!D:D)</f>
        <v>16</v>
      </c>
      <c r="F312" t="str">
        <f>_xlfn.XLOOKUP(E312,Postcodes!A:A, Postcodes!B:B, "NOT FOUND")</f>
        <v>S</v>
      </c>
    </row>
    <row r="313" spans="1:6" x14ac:dyDescent="0.25">
      <c r="A313" s="1">
        <v>41630</v>
      </c>
      <c r="B313">
        <v>9</v>
      </c>
      <c r="C313">
        <v>460</v>
      </c>
      <c r="D313" t="str">
        <f>_xlfn.XLOOKUP(B313, 'Cust_inform'!A:A, 'Cust_inform'!E:E, "NOT FOUND")</f>
        <v>UNEMPLOYED</v>
      </c>
      <c r="E313">
        <f>_xlfn.XLOOKUP(B313, 'Cust_inform'!A:A, 'Cust_inform'!D:D)</f>
        <v>16</v>
      </c>
      <c r="F313" t="str">
        <f>_xlfn.XLOOKUP(E313,Postcodes!A:A, Postcodes!B:B, "NOT FOUND")</f>
        <v>S</v>
      </c>
    </row>
    <row r="314" spans="1:6" x14ac:dyDescent="0.25">
      <c r="A314" s="1">
        <v>41649</v>
      </c>
      <c r="B314">
        <v>9</v>
      </c>
      <c r="C314">
        <v>456</v>
      </c>
      <c r="D314" t="str">
        <f>_xlfn.XLOOKUP(B314, 'Cust_inform'!A:A, 'Cust_inform'!E:E, "NOT FOUND")</f>
        <v>UNEMPLOYED</v>
      </c>
      <c r="E314">
        <f>_xlfn.XLOOKUP(B314, 'Cust_inform'!A:A, 'Cust_inform'!D:D)</f>
        <v>16</v>
      </c>
      <c r="F314" t="str">
        <f>_xlfn.XLOOKUP(E314,Postcodes!A:A, Postcodes!B:B, "NOT FOUND")</f>
        <v>S</v>
      </c>
    </row>
    <row r="315" spans="1:6" x14ac:dyDescent="0.25">
      <c r="A315" s="1">
        <v>41651</v>
      </c>
      <c r="B315">
        <v>9</v>
      </c>
      <c r="C315">
        <v>512</v>
      </c>
      <c r="D315" t="str">
        <f>_xlfn.XLOOKUP(B315, 'Cust_inform'!A:A, 'Cust_inform'!E:E, "NOT FOUND")</f>
        <v>UNEMPLOYED</v>
      </c>
      <c r="E315">
        <f>_xlfn.XLOOKUP(B315, 'Cust_inform'!A:A, 'Cust_inform'!D:D)</f>
        <v>16</v>
      </c>
      <c r="F315" t="str">
        <f>_xlfn.XLOOKUP(E315,Postcodes!A:A, Postcodes!B:B, "NOT FOUND")</f>
        <v>S</v>
      </c>
    </row>
    <row r="316" spans="1:6" x14ac:dyDescent="0.25">
      <c r="A316" s="1">
        <v>41661</v>
      </c>
      <c r="B316">
        <v>9</v>
      </c>
      <c r="C316">
        <v>436</v>
      </c>
      <c r="D316" t="str">
        <f>_xlfn.XLOOKUP(B316, 'Cust_inform'!A:A, 'Cust_inform'!E:E, "NOT FOUND")</f>
        <v>UNEMPLOYED</v>
      </c>
      <c r="E316">
        <f>_xlfn.XLOOKUP(B316, 'Cust_inform'!A:A, 'Cust_inform'!D:D)</f>
        <v>16</v>
      </c>
      <c r="F316" t="str">
        <f>_xlfn.XLOOKUP(E316,Postcodes!A:A, Postcodes!B:B, "NOT FOUND")</f>
        <v>S</v>
      </c>
    </row>
    <row r="317" spans="1:6" x14ac:dyDescent="0.25">
      <c r="A317" s="1">
        <v>41667</v>
      </c>
      <c r="B317">
        <v>9</v>
      </c>
      <c r="C317">
        <v>408</v>
      </c>
      <c r="D317" t="str">
        <f>_xlfn.XLOOKUP(B317, 'Cust_inform'!A:A, 'Cust_inform'!E:E, "NOT FOUND")</f>
        <v>UNEMPLOYED</v>
      </c>
      <c r="E317">
        <f>_xlfn.XLOOKUP(B317, 'Cust_inform'!A:A, 'Cust_inform'!D:D)</f>
        <v>16</v>
      </c>
      <c r="F317" t="str">
        <f>_xlfn.XLOOKUP(E317,Postcodes!A:A, Postcodes!B:B, "NOT FOUND")</f>
        <v>S</v>
      </c>
    </row>
    <row r="318" spans="1:6" x14ac:dyDescent="0.25">
      <c r="A318" s="1">
        <v>41670</v>
      </c>
      <c r="B318">
        <v>9</v>
      </c>
      <c r="C318">
        <v>435</v>
      </c>
      <c r="D318" t="str">
        <f>_xlfn.XLOOKUP(B318, 'Cust_inform'!A:A, 'Cust_inform'!E:E, "NOT FOUND")</f>
        <v>UNEMPLOYED</v>
      </c>
      <c r="E318">
        <f>_xlfn.XLOOKUP(B318, 'Cust_inform'!A:A, 'Cust_inform'!D:D)</f>
        <v>16</v>
      </c>
      <c r="F318" t="str">
        <f>_xlfn.XLOOKUP(E318,Postcodes!A:A, Postcodes!B:B, "NOT FOUND")</f>
        <v>S</v>
      </c>
    </row>
    <row r="319" spans="1:6" x14ac:dyDescent="0.25">
      <c r="A319" s="1">
        <v>41671</v>
      </c>
      <c r="B319">
        <v>9</v>
      </c>
      <c r="C319">
        <v>471</v>
      </c>
      <c r="D319" t="str">
        <f>_xlfn.XLOOKUP(B319, 'Cust_inform'!A:A, 'Cust_inform'!E:E, "NOT FOUND")</f>
        <v>UNEMPLOYED</v>
      </c>
      <c r="E319">
        <f>_xlfn.XLOOKUP(B319, 'Cust_inform'!A:A, 'Cust_inform'!D:D)</f>
        <v>16</v>
      </c>
      <c r="F319" t="str">
        <f>_xlfn.XLOOKUP(E319,Postcodes!A:A, Postcodes!B:B, "NOT FOUND")</f>
        <v>S</v>
      </c>
    </row>
    <row r="320" spans="1:6" x14ac:dyDescent="0.25">
      <c r="A320" s="1">
        <v>41675</v>
      </c>
      <c r="B320">
        <v>9</v>
      </c>
      <c r="C320">
        <v>483</v>
      </c>
      <c r="D320" t="str">
        <f>_xlfn.XLOOKUP(B320, 'Cust_inform'!A:A, 'Cust_inform'!E:E, "NOT FOUND")</f>
        <v>UNEMPLOYED</v>
      </c>
      <c r="E320">
        <f>_xlfn.XLOOKUP(B320, 'Cust_inform'!A:A, 'Cust_inform'!D:D)</f>
        <v>16</v>
      </c>
      <c r="F320" t="str">
        <f>_xlfn.XLOOKUP(E320,Postcodes!A:A, Postcodes!B:B, "NOT FOUND")</f>
        <v>S</v>
      </c>
    </row>
    <row r="321" spans="1:6" x14ac:dyDescent="0.25">
      <c r="A321" s="1">
        <v>41679</v>
      </c>
      <c r="B321">
        <v>9</v>
      </c>
      <c r="C321">
        <v>470</v>
      </c>
      <c r="D321" t="str">
        <f>_xlfn.XLOOKUP(B321, 'Cust_inform'!A:A, 'Cust_inform'!E:E, "NOT FOUND")</f>
        <v>UNEMPLOYED</v>
      </c>
      <c r="E321">
        <f>_xlfn.XLOOKUP(B321, 'Cust_inform'!A:A, 'Cust_inform'!D:D)</f>
        <v>16</v>
      </c>
      <c r="F321" t="str">
        <f>_xlfn.XLOOKUP(E321,Postcodes!A:A, Postcodes!B:B, "NOT FOUND")</f>
        <v>S</v>
      </c>
    </row>
    <row r="322" spans="1:6" x14ac:dyDescent="0.25">
      <c r="A322" s="1">
        <v>41680</v>
      </c>
      <c r="B322">
        <v>9</v>
      </c>
      <c r="C322">
        <v>458</v>
      </c>
      <c r="D322" t="str">
        <f>_xlfn.XLOOKUP(B322, 'Cust_inform'!A:A, 'Cust_inform'!E:E, "NOT FOUND")</f>
        <v>UNEMPLOYED</v>
      </c>
      <c r="E322">
        <f>_xlfn.XLOOKUP(B322, 'Cust_inform'!A:A, 'Cust_inform'!D:D)</f>
        <v>16</v>
      </c>
      <c r="F322" t="str">
        <f>_xlfn.XLOOKUP(E322,Postcodes!A:A, Postcodes!B:B, "NOT FOUND")</f>
        <v>S</v>
      </c>
    </row>
    <row r="323" spans="1:6" x14ac:dyDescent="0.25">
      <c r="A323" s="1">
        <v>41684</v>
      </c>
      <c r="B323">
        <v>9</v>
      </c>
      <c r="C323">
        <v>451</v>
      </c>
      <c r="D323" t="str">
        <f>_xlfn.XLOOKUP(B323, 'Cust_inform'!A:A, 'Cust_inform'!E:E, "NOT FOUND")</f>
        <v>UNEMPLOYED</v>
      </c>
      <c r="E323">
        <f>_xlfn.XLOOKUP(B323, 'Cust_inform'!A:A, 'Cust_inform'!D:D)</f>
        <v>16</v>
      </c>
      <c r="F323" t="str">
        <f>_xlfn.XLOOKUP(E323,Postcodes!A:A, Postcodes!B:B, "NOT FOUND")</f>
        <v>S</v>
      </c>
    </row>
    <row r="324" spans="1:6" x14ac:dyDescent="0.25">
      <c r="A324" s="1">
        <v>41692</v>
      </c>
      <c r="B324">
        <v>9</v>
      </c>
      <c r="C324">
        <v>489</v>
      </c>
      <c r="D324" t="str">
        <f>_xlfn.XLOOKUP(B324, 'Cust_inform'!A:A, 'Cust_inform'!E:E, "NOT FOUND")</f>
        <v>UNEMPLOYED</v>
      </c>
      <c r="E324">
        <f>_xlfn.XLOOKUP(B324, 'Cust_inform'!A:A, 'Cust_inform'!D:D)</f>
        <v>16</v>
      </c>
      <c r="F324" t="str">
        <f>_xlfn.XLOOKUP(E324,Postcodes!A:A, Postcodes!B:B, "NOT FOUND")</f>
        <v>S</v>
      </c>
    </row>
    <row r="325" spans="1:6" x14ac:dyDescent="0.25">
      <c r="A325" s="1">
        <v>41694</v>
      </c>
      <c r="B325">
        <v>9</v>
      </c>
      <c r="C325">
        <v>399</v>
      </c>
      <c r="D325" t="str">
        <f>_xlfn.XLOOKUP(B325, 'Cust_inform'!A:A, 'Cust_inform'!E:E, "NOT FOUND")</f>
        <v>UNEMPLOYED</v>
      </c>
      <c r="E325">
        <f>_xlfn.XLOOKUP(B325, 'Cust_inform'!A:A, 'Cust_inform'!D:D)</f>
        <v>16</v>
      </c>
      <c r="F325" t="str">
        <f>_xlfn.XLOOKUP(E325,Postcodes!A:A, Postcodes!B:B, "NOT FOUND")</f>
        <v>S</v>
      </c>
    </row>
    <row r="326" spans="1:6" x14ac:dyDescent="0.25">
      <c r="A326" s="1">
        <v>41699</v>
      </c>
      <c r="B326">
        <v>9</v>
      </c>
      <c r="C326">
        <v>441</v>
      </c>
      <c r="D326" t="str">
        <f>_xlfn.XLOOKUP(B326, 'Cust_inform'!A:A, 'Cust_inform'!E:E, "NOT FOUND")</f>
        <v>UNEMPLOYED</v>
      </c>
      <c r="E326">
        <f>_xlfn.XLOOKUP(B326, 'Cust_inform'!A:A, 'Cust_inform'!D:D)</f>
        <v>16</v>
      </c>
      <c r="F326" t="str">
        <f>_xlfn.XLOOKUP(E326,Postcodes!A:A, Postcodes!B:B, "NOT FOUND")</f>
        <v>S</v>
      </c>
    </row>
    <row r="327" spans="1:6" x14ac:dyDescent="0.25">
      <c r="A327" s="1">
        <v>41702</v>
      </c>
      <c r="B327">
        <v>9</v>
      </c>
      <c r="C327">
        <v>424</v>
      </c>
      <c r="D327" t="str">
        <f>_xlfn.XLOOKUP(B327, 'Cust_inform'!A:A, 'Cust_inform'!E:E, "NOT FOUND")</f>
        <v>UNEMPLOYED</v>
      </c>
      <c r="E327">
        <f>_xlfn.XLOOKUP(B327, 'Cust_inform'!A:A, 'Cust_inform'!D:D)</f>
        <v>16</v>
      </c>
      <c r="F327" t="str">
        <f>_xlfn.XLOOKUP(E327,Postcodes!A:A, Postcodes!B:B, "NOT FOUND")</f>
        <v>S</v>
      </c>
    </row>
    <row r="328" spans="1:6" x14ac:dyDescent="0.25">
      <c r="A328" s="1">
        <v>41714</v>
      </c>
      <c r="B328">
        <v>9</v>
      </c>
      <c r="C328">
        <v>506</v>
      </c>
      <c r="D328" t="str">
        <f>_xlfn.XLOOKUP(B328, 'Cust_inform'!A:A, 'Cust_inform'!E:E, "NOT FOUND")</f>
        <v>UNEMPLOYED</v>
      </c>
      <c r="E328">
        <f>_xlfn.XLOOKUP(B328, 'Cust_inform'!A:A, 'Cust_inform'!D:D)</f>
        <v>16</v>
      </c>
      <c r="F328" t="str">
        <f>_xlfn.XLOOKUP(E328,Postcodes!A:A, Postcodes!B:B, "NOT FOUND")</f>
        <v>S</v>
      </c>
    </row>
    <row r="329" spans="1:6" x14ac:dyDescent="0.25">
      <c r="A329" s="1">
        <v>41716</v>
      </c>
      <c r="B329">
        <v>9</v>
      </c>
      <c r="C329">
        <v>439</v>
      </c>
      <c r="D329" t="str">
        <f>_xlfn.XLOOKUP(B329, 'Cust_inform'!A:A, 'Cust_inform'!E:E, "NOT FOUND")</f>
        <v>UNEMPLOYED</v>
      </c>
      <c r="E329">
        <f>_xlfn.XLOOKUP(B329, 'Cust_inform'!A:A, 'Cust_inform'!D:D)</f>
        <v>16</v>
      </c>
      <c r="F329" t="str">
        <f>_xlfn.XLOOKUP(E329,Postcodes!A:A, Postcodes!B:B, "NOT FOUND")</f>
        <v>S</v>
      </c>
    </row>
    <row r="330" spans="1:6" x14ac:dyDescent="0.25">
      <c r="A330" s="1">
        <v>41721</v>
      </c>
      <c r="B330">
        <v>9</v>
      </c>
      <c r="C330">
        <v>435</v>
      </c>
      <c r="D330" t="str">
        <f>_xlfn.XLOOKUP(B330, 'Cust_inform'!A:A, 'Cust_inform'!E:E, "NOT FOUND")</f>
        <v>UNEMPLOYED</v>
      </c>
      <c r="E330">
        <f>_xlfn.XLOOKUP(B330, 'Cust_inform'!A:A, 'Cust_inform'!D:D)</f>
        <v>16</v>
      </c>
      <c r="F330" t="str">
        <f>_xlfn.XLOOKUP(E330,Postcodes!A:A, Postcodes!B:B, "NOT FOUND")</f>
        <v>S</v>
      </c>
    </row>
    <row r="331" spans="1:6" x14ac:dyDescent="0.25">
      <c r="A331" s="1">
        <v>41731</v>
      </c>
      <c r="B331">
        <v>9</v>
      </c>
      <c r="C331">
        <v>469</v>
      </c>
      <c r="D331" t="str">
        <f>_xlfn.XLOOKUP(B331, 'Cust_inform'!A:A, 'Cust_inform'!E:E, "NOT FOUND")</f>
        <v>UNEMPLOYED</v>
      </c>
      <c r="E331">
        <f>_xlfn.XLOOKUP(B331, 'Cust_inform'!A:A, 'Cust_inform'!D:D)</f>
        <v>16</v>
      </c>
      <c r="F331" t="str">
        <f>_xlfn.XLOOKUP(E331,Postcodes!A:A, Postcodes!B:B, "NOT FOUND")</f>
        <v>S</v>
      </c>
    </row>
    <row r="332" spans="1:6" x14ac:dyDescent="0.25">
      <c r="A332" s="1">
        <v>41733</v>
      </c>
      <c r="B332">
        <v>9</v>
      </c>
      <c r="C332">
        <v>477</v>
      </c>
      <c r="D332" t="str">
        <f>_xlfn.XLOOKUP(B332, 'Cust_inform'!A:A, 'Cust_inform'!E:E, "NOT FOUND")</f>
        <v>UNEMPLOYED</v>
      </c>
      <c r="E332">
        <f>_xlfn.XLOOKUP(B332, 'Cust_inform'!A:A, 'Cust_inform'!D:D)</f>
        <v>16</v>
      </c>
      <c r="F332" t="str">
        <f>_xlfn.XLOOKUP(E332,Postcodes!A:A, Postcodes!B:B, "NOT FOUND")</f>
        <v>S</v>
      </c>
    </row>
    <row r="333" spans="1:6" x14ac:dyDescent="0.25">
      <c r="A333" s="1">
        <v>41746</v>
      </c>
      <c r="B333">
        <v>9</v>
      </c>
      <c r="C333">
        <v>449</v>
      </c>
      <c r="D333" t="str">
        <f>_xlfn.XLOOKUP(B333, 'Cust_inform'!A:A, 'Cust_inform'!E:E, "NOT FOUND")</f>
        <v>UNEMPLOYED</v>
      </c>
      <c r="E333">
        <f>_xlfn.XLOOKUP(B333, 'Cust_inform'!A:A, 'Cust_inform'!D:D)</f>
        <v>16</v>
      </c>
      <c r="F333" t="str">
        <f>_xlfn.XLOOKUP(E333,Postcodes!A:A, Postcodes!B:B, "NOT FOUND")</f>
        <v>S</v>
      </c>
    </row>
    <row r="334" spans="1:6" x14ac:dyDescent="0.25">
      <c r="A334" s="1">
        <v>41748</v>
      </c>
      <c r="B334">
        <v>9</v>
      </c>
      <c r="C334">
        <v>429</v>
      </c>
      <c r="D334" t="str">
        <f>_xlfn.XLOOKUP(B334, 'Cust_inform'!A:A, 'Cust_inform'!E:E, "NOT FOUND")</f>
        <v>UNEMPLOYED</v>
      </c>
      <c r="E334">
        <f>_xlfn.XLOOKUP(B334, 'Cust_inform'!A:A, 'Cust_inform'!D:D)</f>
        <v>16</v>
      </c>
      <c r="F334" t="str">
        <f>_xlfn.XLOOKUP(E334,Postcodes!A:A, Postcodes!B:B, "NOT FOUND")</f>
        <v>S</v>
      </c>
    </row>
    <row r="335" spans="1:6" x14ac:dyDescent="0.25">
      <c r="A335" s="1">
        <v>41754</v>
      </c>
      <c r="B335">
        <v>9</v>
      </c>
      <c r="C335">
        <v>424</v>
      </c>
      <c r="D335" t="str">
        <f>_xlfn.XLOOKUP(B335, 'Cust_inform'!A:A, 'Cust_inform'!E:E, "NOT FOUND")</f>
        <v>UNEMPLOYED</v>
      </c>
      <c r="E335">
        <f>_xlfn.XLOOKUP(B335, 'Cust_inform'!A:A, 'Cust_inform'!D:D)</f>
        <v>16</v>
      </c>
      <c r="F335" t="str">
        <f>_xlfn.XLOOKUP(E335,Postcodes!A:A, Postcodes!B:B, "NOT FOUND")</f>
        <v>S</v>
      </c>
    </row>
    <row r="336" spans="1:6" x14ac:dyDescent="0.25">
      <c r="A336" s="1">
        <v>41759</v>
      </c>
      <c r="B336">
        <v>9</v>
      </c>
      <c r="C336">
        <v>414</v>
      </c>
      <c r="D336" t="str">
        <f>_xlfn.XLOOKUP(B336, 'Cust_inform'!A:A, 'Cust_inform'!E:E, "NOT FOUND")</f>
        <v>UNEMPLOYED</v>
      </c>
      <c r="E336">
        <f>_xlfn.XLOOKUP(B336, 'Cust_inform'!A:A, 'Cust_inform'!D:D)</f>
        <v>16</v>
      </c>
      <c r="F336" t="str">
        <f>_xlfn.XLOOKUP(E336,Postcodes!A:A, Postcodes!B:B, "NOT FOUND")</f>
        <v>S</v>
      </c>
    </row>
    <row r="337" spans="1:6" x14ac:dyDescent="0.25">
      <c r="A337" s="1">
        <v>41768</v>
      </c>
      <c r="B337">
        <v>9</v>
      </c>
      <c r="C337">
        <v>400</v>
      </c>
      <c r="D337" t="str">
        <f>_xlfn.XLOOKUP(B337, 'Cust_inform'!A:A, 'Cust_inform'!E:E, "NOT FOUND")</f>
        <v>UNEMPLOYED</v>
      </c>
      <c r="E337">
        <f>_xlfn.XLOOKUP(B337, 'Cust_inform'!A:A, 'Cust_inform'!D:D)</f>
        <v>16</v>
      </c>
      <c r="F337" t="str">
        <f>_xlfn.XLOOKUP(E337,Postcodes!A:A, Postcodes!B:B, "NOT FOUND")</f>
        <v>S</v>
      </c>
    </row>
    <row r="338" spans="1:6" x14ac:dyDescent="0.25">
      <c r="A338" s="1">
        <v>41770</v>
      </c>
      <c r="B338">
        <v>9</v>
      </c>
      <c r="C338">
        <v>467</v>
      </c>
      <c r="D338" t="str">
        <f>_xlfn.XLOOKUP(B338, 'Cust_inform'!A:A, 'Cust_inform'!E:E, "NOT FOUND")</f>
        <v>UNEMPLOYED</v>
      </c>
      <c r="E338">
        <f>_xlfn.XLOOKUP(B338, 'Cust_inform'!A:A, 'Cust_inform'!D:D)</f>
        <v>16</v>
      </c>
      <c r="F338" t="str">
        <f>_xlfn.XLOOKUP(E338,Postcodes!A:A, Postcodes!B:B, "NOT FOUND")</f>
        <v>S</v>
      </c>
    </row>
    <row r="339" spans="1:6" x14ac:dyDescent="0.25">
      <c r="A339" s="1">
        <v>41780</v>
      </c>
      <c r="B339">
        <v>9</v>
      </c>
      <c r="C339">
        <v>483</v>
      </c>
      <c r="D339" t="str">
        <f>_xlfn.XLOOKUP(B339, 'Cust_inform'!A:A, 'Cust_inform'!E:E, "NOT FOUND")</f>
        <v>UNEMPLOYED</v>
      </c>
      <c r="E339">
        <f>_xlfn.XLOOKUP(B339, 'Cust_inform'!A:A, 'Cust_inform'!D:D)</f>
        <v>16</v>
      </c>
      <c r="F339" t="str">
        <f>_xlfn.XLOOKUP(E339,Postcodes!A:A, Postcodes!B:B, "NOT FOUND")</f>
        <v>S</v>
      </c>
    </row>
    <row r="340" spans="1:6" x14ac:dyDescent="0.25">
      <c r="A340" s="1">
        <v>41782</v>
      </c>
      <c r="B340">
        <v>9</v>
      </c>
      <c r="C340">
        <v>477</v>
      </c>
      <c r="D340" t="str">
        <f>_xlfn.XLOOKUP(B340, 'Cust_inform'!A:A, 'Cust_inform'!E:E, "NOT FOUND")</f>
        <v>UNEMPLOYED</v>
      </c>
      <c r="E340">
        <f>_xlfn.XLOOKUP(B340, 'Cust_inform'!A:A, 'Cust_inform'!D:D)</f>
        <v>16</v>
      </c>
      <c r="F340" t="str">
        <f>_xlfn.XLOOKUP(E340,Postcodes!A:A, Postcodes!B:B, "NOT FOUND")</f>
        <v>S</v>
      </c>
    </row>
    <row r="341" spans="1:6" x14ac:dyDescent="0.25">
      <c r="A341" s="1">
        <v>41782</v>
      </c>
      <c r="B341">
        <v>9</v>
      </c>
      <c r="C341">
        <v>403</v>
      </c>
      <c r="D341" t="str">
        <f>_xlfn.XLOOKUP(B341, 'Cust_inform'!A:A, 'Cust_inform'!E:E, "NOT FOUND")</f>
        <v>UNEMPLOYED</v>
      </c>
      <c r="E341">
        <f>_xlfn.XLOOKUP(B341, 'Cust_inform'!A:A, 'Cust_inform'!D:D)</f>
        <v>16</v>
      </c>
      <c r="F341" t="str">
        <f>_xlfn.XLOOKUP(E341,Postcodes!A:A, Postcodes!B:B, "NOT FOUND")</f>
        <v>S</v>
      </c>
    </row>
    <row r="342" spans="1:6" x14ac:dyDescent="0.25">
      <c r="A342" s="1">
        <v>41787</v>
      </c>
      <c r="B342">
        <v>9</v>
      </c>
      <c r="C342">
        <v>439</v>
      </c>
      <c r="D342" t="str">
        <f>_xlfn.XLOOKUP(B342, 'Cust_inform'!A:A, 'Cust_inform'!E:E, "NOT FOUND")</f>
        <v>UNEMPLOYED</v>
      </c>
      <c r="E342">
        <f>_xlfn.XLOOKUP(B342, 'Cust_inform'!A:A, 'Cust_inform'!D:D)</f>
        <v>16</v>
      </c>
      <c r="F342" t="str">
        <f>_xlfn.XLOOKUP(E342,Postcodes!A:A, Postcodes!B:B, "NOT FOUND")</f>
        <v>S</v>
      </c>
    </row>
    <row r="343" spans="1:6" x14ac:dyDescent="0.25">
      <c r="A343" s="1">
        <v>41787</v>
      </c>
      <c r="B343">
        <v>9</v>
      </c>
      <c r="C343">
        <v>478</v>
      </c>
      <c r="D343" t="str">
        <f>_xlfn.XLOOKUP(B343, 'Cust_inform'!A:A, 'Cust_inform'!E:E, "NOT FOUND")</f>
        <v>UNEMPLOYED</v>
      </c>
      <c r="E343">
        <f>_xlfn.XLOOKUP(B343, 'Cust_inform'!A:A, 'Cust_inform'!D:D)</f>
        <v>16</v>
      </c>
      <c r="F343" t="str">
        <f>_xlfn.XLOOKUP(E343,Postcodes!A:A, Postcodes!B:B, "NOT FOUND")</f>
        <v>S</v>
      </c>
    </row>
    <row r="344" spans="1:6" x14ac:dyDescent="0.25">
      <c r="A344" s="1">
        <v>41790</v>
      </c>
      <c r="B344">
        <v>9</v>
      </c>
      <c r="C344">
        <v>477</v>
      </c>
      <c r="D344" t="str">
        <f>_xlfn.XLOOKUP(B344, 'Cust_inform'!A:A, 'Cust_inform'!E:E, "NOT FOUND")</f>
        <v>UNEMPLOYED</v>
      </c>
      <c r="E344">
        <f>_xlfn.XLOOKUP(B344, 'Cust_inform'!A:A, 'Cust_inform'!D:D)</f>
        <v>16</v>
      </c>
      <c r="F344" t="str">
        <f>_xlfn.XLOOKUP(E344,Postcodes!A:A, Postcodes!B:B, "NOT FOUND")</f>
        <v>S</v>
      </c>
    </row>
    <row r="345" spans="1:6" x14ac:dyDescent="0.25">
      <c r="A345" s="1">
        <v>41796</v>
      </c>
      <c r="B345">
        <v>9</v>
      </c>
      <c r="C345">
        <v>450</v>
      </c>
      <c r="D345" t="str">
        <f>_xlfn.XLOOKUP(B345, 'Cust_inform'!A:A, 'Cust_inform'!E:E, "NOT FOUND")</f>
        <v>UNEMPLOYED</v>
      </c>
      <c r="E345">
        <f>_xlfn.XLOOKUP(B345, 'Cust_inform'!A:A, 'Cust_inform'!D:D)</f>
        <v>16</v>
      </c>
      <c r="F345" t="str">
        <f>_xlfn.XLOOKUP(E345,Postcodes!A:A, Postcodes!B:B, "NOT FOUND")</f>
        <v>S</v>
      </c>
    </row>
    <row r="346" spans="1:6" x14ac:dyDescent="0.25">
      <c r="A346" s="1">
        <v>41797</v>
      </c>
      <c r="B346">
        <v>9</v>
      </c>
      <c r="C346">
        <v>407</v>
      </c>
      <c r="D346" t="str">
        <f>_xlfn.XLOOKUP(B346, 'Cust_inform'!A:A, 'Cust_inform'!E:E, "NOT FOUND")</f>
        <v>UNEMPLOYED</v>
      </c>
      <c r="E346">
        <f>_xlfn.XLOOKUP(B346, 'Cust_inform'!A:A, 'Cust_inform'!D:D)</f>
        <v>16</v>
      </c>
      <c r="F346" t="str">
        <f>_xlfn.XLOOKUP(E346,Postcodes!A:A, Postcodes!B:B, "NOT FOUND")</f>
        <v>S</v>
      </c>
    </row>
    <row r="347" spans="1:6" x14ac:dyDescent="0.25">
      <c r="A347" s="1">
        <v>41801</v>
      </c>
      <c r="B347">
        <v>9</v>
      </c>
      <c r="C347">
        <v>393</v>
      </c>
      <c r="D347" t="str">
        <f>_xlfn.XLOOKUP(B347, 'Cust_inform'!A:A, 'Cust_inform'!E:E, "NOT FOUND")</f>
        <v>UNEMPLOYED</v>
      </c>
      <c r="E347">
        <f>_xlfn.XLOOKUP(B347, 'Cust_inform'!A:A, 'Cust_inform'!D:D)</f>
        <v>16</v>
      </c>
      <c r="F347" t="str">
        <f>_xlfn.XLOOKUP(E347,Postcodes!A:A, Postcodes!B:B, "NOT FOUND")</f>
        <v>S</v>
      </c>
    </row>
    <row r="348" spans="1:6" x14ac:dyDescent="0.25">
      <c r="A348" s="1">
        <v>41801</v>
      </c>
      <c r="B348">
        <v>9</v>
      </c>
      <c r="C348">
        <v>430</v>
      </c>
      <c r="D348" t="str">
        <f>_xlfn.XLOOKUP(B348, 'Cust_inform'!A:A, 'Cust_inform'!E:E, "NOT FOUND")</f>
        <v>UNEMPLOYED</v>
      </c>
      <c r="E348">
        <f>_xlfn.XLOOKUP(B348, 'Cust_inform'!A:A, 'Cust_inform'!D:D)</f>
        <v>16</v>
      </c>
      <c r="F348" t="str">
        <f>_xlfn.XLOOKUP(E348,Postcodes!A:A, Postcodes!B:B, "NOT FOUND")</f>
        <v>S</v>
      </c>
    </row>
    <row r="349" spans="1:6" x14ac:dyDescent="0.25">
      <c r="A349" s="1">
        <v>41619</v>
      </c>
      <c r="B349">
        <v>10</v>
      </c>
      <c r="C349">
        <v>411</v>
      </c>
      <c r="D349" t="str">
        <f>_xlfn.XLOOKUP(B349, 'Cust_inform'!A:A, 'Cust_inform'!E:E, "NOT FOUND")</f>
        <v>UNEMPLOYED</v>
      </c>
      <c r="E349">
        <f>_xlfn.XLOOKUP(B349, 'Cust_inform'!A:A, 'Cust_inform'!D:D)</f>
        <v>10</v>
      </c>
      <c r="F349" t="str">
        <f>_xlfn.XLOOKUP(E349,Postcodes!A:A, Postcodes!B:B, "NOT FOUND")</f>
        <v>W</v>
      </c>
    </row>
    <row r="350" spans="1:6" x14ac:dyDescent="0.25">
      <c r="A350" s="1">
        <v>41620</v>
      </c>
      <c r="B350">
        <v>10</v>
      </c>
      <c r="C350">
        <v>471</v>
      </c>
      <c r="D350" t="str">
        <f>_xlfn.XLOOKUP(B350, 'Cust_inform'!A:A, 'Cust_inform'!E:E, "NOT FOUND")</f>
        <v>UNEMPLOYED</v>
      </c>
      <c r="E350">
        <f>_xlfn.XLOOKUP(B350, 'Cust_inform'!A:A, 'Cust_inform'!D:D)</f>
        <v>10</v>
      </c>
      <c r="F350" t="str">
        <f>_xlfn.XLOOKUP(E350,Postcodes!A:A, Postcodes!B:B, "NOT FOUND")</f>
        <v>W</v>
      </c>
    </row>
    <row r="351" spans="1:6" x14ac:dyDescent="0.25">
      <c r="A351" s="1">
        <v>41622</v>
      </c>
      <c r="B351">
        <v>10</v>
      </c>
      <c r="C351">
        <v>456</v>
      </c>
      <c r="D351" t="str">
        <f>_xlfn.XLOOKUP(B351, 'Cust_inform'!A:A, 'Cust_inform'!E:E, "NOT FOUND")</f>
        <v>UNEMPLOYED</v>
      </c>
      <c r="E351">
        <f>_xlfn.XLOOKUP(B351, 'Cust_inform'!A:A, 'Cust_inform'!D:D)</f>
        <v>10</v>
      </c>
      <c r="F351" t="str">
        <f>_xlfn.XLOOKUP(E351,Postcodes!A:A, Postcodes!B:B, "NOT FOUND")</f>
        <v>W</v>
      </c>
    </row>
    <row r="352" spans="1:6" x14ac:dyDescent="0.25">
      <c r="A352" s="1">
        <v>41627</v>
      </c>
      <c r="B352">
        <v>10</v>
      </c>
      <c r="C352">
        <v>435</v>
      </c>
      <c r="D352" t="str">
        <f>_xlfn.XLOOKUP(B352, 'Cust_inform'!A:A, 'Cust_inform'!E:E, "NOT FOUND")</f>
        <v>UNEMPLOYED</v>
      </c>
      <c r="E352">
        <f>_xlfn.XLOOKUP(B352, 'Cust_inform'!A:A, 'Cust_inform'!D:D)</f>
        <v>10</v>
      </c>
      <c r="F352" t="str">
        <f>_xlfn.XLOOKUP(E352,Postcodes!A:A, Postcodes!B:B, "NOT FOUND")</f>
        <v>W</v>
      </c>
    </row>
    <row r="353" spans="1:6" x14ac:dyDescent="0.25">
      <c r="A353" s="1">
        <v>41629</v>
      </c>
      <c r="B353">
        <v>10</v>
      </c>
      <c r="C353">
        <v>400</v>
      </c>
      <c r="D353" t="str">
        <f>_xlfn.XLOOKUP(B353, 'Cust_inform'!A:A, 'Cust_inform'!E:E, "NOT FOUND")</f>
        <v>UNEMPLOYED</v>
      </c>
      <c r="E353">
        <f>_xlfn.XLOOKUP(B353, 'Cust_inform'!A:A, 'Cust_inform'!D:D)</f>
        <v>10</v>
      </c>
      <c r="F353" t="str">
        <f>_xlfn.XLOOKUP(E353,Postcodes!A:A, Postcodes!B:B, "NOT FOUND")</f>
        <v>W</v>
      </c>
    </row>
    <row r="354" spans="1:6" x14ac:dyDescent="0.25">
      <c r="A354" s="1">
        <v>41645</v>
      </c>
      <c r="B354">
        <v>10</v>
      </c>
      <c r="C354">
        <v>398</v>
      </c>
      <c r="D354" t="str">
        <f>_xlfn.XLOOKUP(B354, 'Cust_inform'!A:A, 'Cust_inform'!E:E, "NOT FOUND")</f>
        <v>UNEMPLOYED</v>
      </c>
      <c r="E354">
        <f>_xlfn.XLOOKUP(B354, 'Cust_inform'!A:A, 'Cust_inform'!D:D)</f>
        <v>10</v>
      </c>
      <c r="F354" t="str">
        <f>_xlfn.XLOOKUP(E354,Postcodes!A:A, Postcodes!B:B, "NOT FOUND")</f>
        <v>W</v>
      </c>
    </row>
    <row r="355" spans="1:6" x14ac:dyDescent="0.25">
      <c r="A355" s="1">
        <v>41647</v>
      </c>
      <c r="B355">
        <v>10</v>
      </c>
      <c r="C355">
        <v>428</v>
      </c>
      <c r="D355" t="str">
        <f>_xlfn.XLOOKUP(B355, 'Cust_inform'!A:A, 'Cust_inform'!E:E, "NOT FOUND")</f>
        <v>UNEMPLOYED</v>
      </c>
      <c r="E355">
        <f>_xlfn.XLOOKUP(B355, 'Cust_inform'!A:A, 'Cust_inform'!D:D)</f>
        <v>10</v>
      </c>
      <c r="F355" t="str">
        <f>_xlfn.XLOOKUP(E355,Postcodes!A:A, Postcodes!B:B, "NOT FOUND")</f>
        <v>W</v>
      </c>
    </row>
    <row r="356" spans="1:6" x14ac:dyDescent="0.25">
      <c r="A356" s="1">
        <v>41648</v>
      </c>
      <c r="B356">
        <v>10</v>
      </c>
      <c r="C356">
        <v>430</v>
      </c>
      <c r="D356" t="str">
        <f>_xlfn.XLOOKUP(B356, 'Cust_inform'!A:A, 'Cust_inform'!E:E, "NOT FOUND")</f>
        <v>UNEMPLOYED</v>
      </c>
      <c r="E356">
        <f>_xlfn.XLOOKUP(B356, 'Cust_inform'!A:A, 'Cust_inform'!D:D)</f>
        <v>10</v>
      </c>
      <c r="F356" t="str">
        <f>_xlfn.XLOOKUP(E356,Postcodes!A:A, Postcodes!B:B, "NOT FOUND")</f>
        <v>W</v>
      </c>
    </row>
    <row r="357" spans="1:6" x14ac:dyDescent="0.25">
      <c r="A357" s="1">
        <v>41672</v>
      </c>
      <c r="B357">
        <v>10</v>
      </c>
      <c r="C357">
        <v>422</v>
      </c>
      <c r="D357" t="str">
        <f>_xlfn.XLOOKUP(B357, 'Cust_inform'!A:A, 'Cust_inform'!E:E, "NOT FOUND")</f>
        <v>UNEMPLOYED</v>
      </c>
      <c r="E357">
        <f>_xlfn.XLOOKUP(B357, 'Cust_inform'!A:A, 'Cust_inform'!D:D)</f>
        <v>10</v>
      </c>
      <c r="F357" t="str">
        <f>_xlfn.XLOOKUP(E357,Postcodes!A:A, Postcodes!B:B, "NOT FOUND")</f>
        <v>W</v>
      </c>
    </row>
    <row r="358" spans="1:6" x14ac:dyDescent="0.25">
      <c r="A358" s="1">
        <v>41685</v>
      </c>
      <c r="B358">
        <v>10</v>
      </c>
      <c r="C358">
        <v>417</v>
      </c>
      <c r="D358" t="str">
        <f>_xlfn.XLOOKUP(B358, 'Cust_inform'!A:A, 'Cust_inform'!E:E, "NOT FOUND")</f>
        <v>UNEMPLOYED</v>
      </c>
      <c r="E358">
        <f>_xlfn.XLOOKUP(B358, 'Cust_inform'!A:A, 'Cust_inform'!D:D)</f>
        <v>10</v>
      </c>
      <c r="F358" t="str">
        <f>_xlfn.XLOOKUP(E358,Postcodes!A:A, Postcodes!B:B, "NOT FOUND")</f>
        <v>W</v>
      </c>
    </row>
    <row r="359" spans="1:6" x14ac:dyDescent="0.25">
      <c r="A359" s="1">
        <v>41685</v>
      </c>
      <c r="B359">
        <v>10</v>
      </c>
      <c r="C359">
        <v>410</v>
      </c>
      <c r="D359" t="str">
        <f>_xlfn.XLOOKUP(B359, 'Cust_inform'!A:A, 'Cust_inform'!E:E, "NOT FOUND")</f>
        <v>UNEMPLOYED</v>
      </c>
      <c r="E359">
        <f>_xlfn.XLOOKUP(B359, 'Cust_inform'!A:A, 'Cust_inform'!D:D)</f>
        <v>10</v>
      </c>
      <c r="F359" t="str">
        <f>_xlfn.XLOOKUP(E359,Postcodes!A:A, Postcodes!B:B, "NOT FOUND")</f>
        <v>W</v>
      </c>
    </row>
    <row r="360" spans="1:6" x14ac:dyDescent="0.25">
      <c r="A360" s="1">
        <v>41690</v>
      </c>
      <c r="B360">
        <v>10</v>
      </c>
      <c r="C360">
        <v>464</v>
      </c>
      <c r="D360" t="str">
        <f>_xlfn.XLOOKUP(B360, 'Cust_inform'!A:A, 'Cust_inform'!E:E, "NOT FOUND")</f>
        <v>UNEMPLOYED</v>
      </c>
      <c r="E360">
        <f>_xlfn.XLOOKUP(B360, 'Cust_inform'!A:A, 'Cust_inform'!D:D)</f>
        <v>10</v>
      </c>
      <c r="F360" t="str">
        <f>_xlfn.XLOOKUP(E360,Postcodes!A:A, Postcodes!B:B, "NOT FOUND")</f>
        <v>W</v>
      </c>
    </row>
    <row r="361" spans="1:6" x14ac:dyDescent="0.25">
      <c r="A361" s="1">
        <v>41706</v>
      </c>
      <c r="B361">
        <v>10</v>
      </c>
      <c r="C361">
        <v>399</v>
      </c>
      <c r="D361" t="str">
        <f>_xlfn.XLOOKUP(B361, 'Cust_inform'!A:A, 'Cust_inform'!E:E, "NOT FOUND")</f>
        <v>UNEMPLOYED</v>
      </c>
      <c r="E361">
        <f>_xlfn.XLOOKUP(B361, 'Cust_inform'!A:A, 'Cust_inform'!D:D)</f>
        <v>10</v>
      </c>
      <c r="F361" t="str">
        <f>_xlfn.XLOOKUP(E361,Postcodes!A:A, Postcodes!B:B, "NOT FOUND")</f>
        <v>W</v>
      </c>
    </row>
    <row r="362" spans="1:6" x14ac:dyDescent="0.25">
      <c r="A362" s="1">
        <v>41711</v>
      </c>
      <c r="B362">
        <v>10</v>
      </c>
      <c r="C362">
        <v>469</v>
      </c>
      <c r="D362" t="str">
        <f>_xlfn.XLOOKUP(B362, 'Cust_inform'!A:A, 'Cust_inform'!E:E, "NOT FOUND")</f>
        <v>UNEMPLOYED</v>
      </c>
      <c r="E362">
        <f>_xlfn.XLOOKUP(B362, 'Cust_inform'!A:A, 'Cust_inform'!D:D)</f>
        <v>10</v>
      </c>
      <c r="F362" t="str">
        <f>_xlfn.XLOOKUP(E362,Postcodes!A:A, Postcodes!B:B, "NOT FOUND")</f>
        <v>W</v>
      </c>
    </row>
    <row r="363" spans="1:6" x14ac:dyDescent="0.25">
      <c r="A363" s="1">
        <v>41713</v>
      </c>
      <c r="B363">
        <v>10</v>
      </c>
      <c r="C363">
        <v>385</v>
      </c>
      <c r="D363" t="str">
        <f>_xlfn.XLOOKUP(B363, 'Cust_inform'!A:A, 'Cust_inform'!E:E, "NOT FOUND")</f>
        <v>UNEMPLOYED</v>
      </c>
      <c r="E363">
        <f>_xlfn.XLOOKUP(B363, 'Cust_inform'!A:A, 'Cust_inform'!D:D)</f>
        <v>10</v>
      </c>
      <c r="F363" t="str">
        <f>_xlfn.XLOOKUP(E363,Postcodes!A:A, Postcodes!B:B, "NOT FOUND")</f>
        <v>W</v>
      </c>
    </row>
    <row r="364" spans="1:6" x14ac:dyDescent="0.25">
      <c r="A364" s="1">
        <v>41716</v>
      </c>
      <c r="B364">
        <v>10</v>
      </c>
      <c r="C364">
        <v>441</v>
      </c>
      <c r="D364" t="str">
        <f>_xlfn.XLOOKUP(B364, 'Cust_inform'!A:A, 'Cust_inform'!E:E, "NOT FOUND")</f>
        <v>UNEMPLOYED</v>
      </c>
      <c r="E364">
        <f>_xlfn.XLOOKUP(B364, 'Cust_inform'!A:A, 'Cust_inform'!D:D)</f>
        <v>10</v>
      </c>
      <c r="F364" t="str">
        <f>_xlfn.XLOOKUP(E364,Postcodes!A:A, Postcodes!B:B, "NOT FOUND")</f>
        <v>W</v>
      </c>
    </row>
    <row r="365" spans="1:6" x14ac:dyDescent="0.25">
      <c r="A365" s="1">
        <v>41721</v>
      </c>
      <c r="B365">
        <v>10</v>
      </c>
      <c r="C365">
        <v>431</v>
      </c>
      <c r="D365" t="str">
        <f>_xlfn.XLOOKUP(B365, 'Cust_inform'!A:A, 'Cust_inform'!E:E, "NOT FOUND")</f>
        <v>UNEMPLOYED</v>
      </c>
      <c r="E365">
        <f>_xlfn.XLOOKUP(B365, 'Cust_inform'!A:A, 'Cust_inform'!D:D)</f>
        <v>10</v>
      </c>
      <c r="F365" t="str">
        <f>_xlfn.XLOOKUP(E365,Postcodes!A:A, Postcodes!B:B, "NOT FOUND")</f>
        <v>W</v>
      </c>
    </row>
    <row r="366" spans="1:6" x14ac:dyDescent="0.25">
      <c r="A366" s="1">
        <v>41722</v>
      </c>
      <c r="B366">
        <v>10</v>
      </c>
      <c r="C366">
        <v>453</v>
      </c>
      <c r="D366" t="str">
        <f>_xlfn.XLOOKUP(B366, 'Cust_inform'!A:A, 'Cust_inform'!E:E, "NOT FOUND")</f>
        <v>UNEMPLOYED</v>
      </c>
      <c r="E366">
        <f>_xlfn.XLOOKUP(B366, 'Cust_inform'!A:A, 'Cust_inform'!D:D)</f>
        <v>10</v>
      </c>
      <c r="F366" t="str">
        <f>_xlfn.XLOOKUP(E366,Postcodes!A:A, Postcodes!B:B, "NOT FOUND")</f>
        <v>W</v>
      </c>
    </row>
    <row r="367" spans="1:6" x14ac:dyDescent="0.25">
      <c r="A367" s="1">
        <v>41765</v>
      </c>
      <c r="B367">
        <v>10</v>
      </c>
      <c r="C367">
        <v>451</v>
      </c>
      <c r="D367" t="str">
        <f>_xlfn.XLOOKUP(B367, 'Cust_inform'!A:A, 'Cust_inform'!E:E, "NOT FOUND")</f>
        <v>UNEMPLOYED</v>
      </c>
      <c r="E367">
        <f>_xlfn.XLOOKUP(B367, 'Cust_inform'!A:A, 'Cust_inform'!D:D)</f>
        <v>10</v>
      </c>
      <c r="F367" t="str">
        <f>_xlfn.XLOOKUP(E367,Postcodes!A:A, Postcodes!B:B, "NOT FOUND")</f>
        <v>W</v>
      </c>
    </row>
    <row r="368" spans="1:6" x14ac:dyDescent="0.25">
      <c r="A368" s="1">
        <v>41776</v>
      </c>
      <c r="B368">
        <v>10</v>
      </c>
      <c r="C368">
        <v>414</v>
      </c>
      <c r="D368" t="str">
        <f>_xlfn.XLOOKUP(B368, 'Cust_inform'!A:A, 'Cust_inform'!E:E, "NOT FOUND")</f>
        <v>UNEMPLOYED</v>
      </c>
      <c r="E368">
        <f>_xlfn.XLOOKUP(B368, 'Cust_inform'!A:A, 'Cust_inform'!D:D)</f>
        <v>10</v>
      </c>
      <c r="F368" t="str">
        <f>_xlfn.XLOOKUP(E368,Postcodes!A:A, Postcodes!B:B, "NOT FOUND")</f>
        <v>W</v>
      </c>
    </row>
    <row r="369" spans="1:6" x14ac:dyDescent="0.25">
      <c r="A369" s="1">
        <v>41791</v>
      </c>
      <c r="B369">
        <v>10</v>
      </c>
      <c r="C369">
        <v>416</v>
      </c>
      <c r="D369" t="str">
        <f>_xlfn.XLOOKUP(B369, 'Cust_inform'!A:A, 'Cust_inform'!E:E, "NOT FOUND")</f>
        <v>UNEMPLOYED</v>
      </c>
      <c r="E369">
        <f>_xlfn.XLOOKUP(B369, 'Cust_inform'!A:A, 'Cust_inform'!D:D)</f>
        <v>10</v>
      </c>
      <c r="F369" t="str">
        <f>_xlfn.XLOOKUP(E369,Postcodes!A:A, Postcodes!B:B, "NOT FOUND")</f>
        <v>W</v>
      </c>
    </row>
    <row r="370" spans="1:6" x14ac:dyDescent="0.25">
      <c r="A370" s="1">
        <v>41794</v>
      </c>
      <c r="B370">
        <v>10</v>
      </c>
      <c r="C370">
        <v>401</v>
      </c>
      <c r="D370" t="str">
        <f>_xlfn.XLOOKUP(B370, 'Cust_inform'!A:A, 'Cust_inform'!E:E, "NOT FOUND")</f>
        <v>UNEMPLOYED</v>
      </c>
      <c r="E370">
        <f>_xlfn.XLOOKUP(B370, 'Cust_inform'!A:A, 'Cust_inform'!D:D)</f>
        <v>10</v>
      </c>
      <c r="F370" t="str">
        <f>_xlfn.XLOOKUP(E370,Postcodes!A:A, Postcodes!B:B, "NOT FOUND")</f>
        <v>W</v>
      </c>
    </row>
    <row r="371" spans="1:6" x14ac:dyDescent="0.25">
      <c r="A371" s="1">
        <v>41640</v>
      </c>
      <c r="B371">
        <v>11</v>
      </c>
      <c r="C371">
        <v>318</v>
      </c>
      <c r="D371" t="str">
        <f>_xlfn.XLOOKUP(B371, 'Cust_inform'!A:A, 'Cust_inform'!E:E, "NOT FOUND")</f>
        <v>EMPLOYED</v>
      </c>
      <c r="E371">
        <f>_xlfn.XLOOKUP(B371, 'Cust_inform'!A:A, 'Cust_inform'!D:D)</f>
        <v>6</v>
      </c>
      <c r="F371" t="str">
        <f>_xlfn.XLOOKUP(E371,Postcodes!A:A, Postcodes!B:B, "NOT FOUND")</f>
        <v>E</v>
      </c>
    </row>
    <row r="372" spans="1:6" x14ac:dyDescent="0.25">
      <c r="A372" s="1">
        <v>41643</v>
      </c>
      <c r="B372">
        <v>11</v>
      </c>
      <c r="C372">
        <v>340</v>
      </c>
      <c r="D372" t="str">
        <f>_xlfn.XLOOKUP(B372, 'Cust_inform'!A:A, 'Cust_inform'!E:E, "NOT FOUND")</f>
        <v>EMPLOYED</v>
      </c>
      <c r="E372">
        <f>_xlfn.XLOOKUP(B372, 'Cust_inform'!A:A, 'Cust_inform'!D:D)</f>
        <v>6</v>
      </c>
      <c r="F372" t="str">
        <f>_xlfn.XLOOKUP(E372,Postcodes!A:A, Postcodes!B:B, "NOT FOUND")</f>
        <v>E</v>
      </c>
    </row>
    <row r="373" spans="1:6" x14ac:dyDescent="0.25">
      <c r="A373" s="1">
        <v>41658</v>
      </c>
      <c r="B373">
        <v>11</v>
      </c>
      <c r="C373">
        <v>298</v>
      </c>
      <c r="D373" t="str">
        <f>_xlfn.XLOOKUP(B373, 'Cust_inform'!A:A, 'Cust_inform'!E:E, "NOT FOUND")</f>
        <v>EMPLOYED</v>
      </c>
      <c r="E373">
        <f>_xlfn.XLOOKUP(B373, 'Cust_inform'!A:A, 'Cust_inform'!D:D)</f>
        <v>6</v>
      </c>
      <c r="F373" t="str">
        <f>_xlfn.XLOOKUP(E373,Postcodes!A:A, Postcodes!B:B, "NOT FOUND")</f>
        <v>E</v>
      </c>
    </row>
    <row r="374" spans="1:6" x14ac:dyDescent="0.25">
      <c r="A374" s="1">
        <v>41659</v>
      </c>
      <c r="B374">
        <v>11</v>
      </c>
      <c r="C374">
        <v>309</v>
      </c>
      <c r="D374" t="str">
        <f>_xlfn.XLOOKUP(B374, 'Cust_inform'!A:A, 'Cust_inform'!E:E, "NOT FOUND")</f>
        <v>EMPLOYED</v>
      </c>
      <c r="E374">
        <f>_xlfn.XLOOKUP(B374, 'Cust_inform'!A:A, 'Cust_inform'!D:D)</f>
        <v>6</v>
      </c>
      <c r="F374" t="str">
        <f>_xlfn.XLOOKUP(E374,Postcodes!A:A, Postcodes!B:B, "NOT FOUND")</f>
        <v>E</v>
      </c>
    </row>
    <row r="375" spans="1:6" x14ac:dyDescent="0.25">
      <c r="A375" s="1">
        <v>41685</v>
      </c>
      <c r="B375">
        <v>11</v>
      </c>
      <c r="C375">
        <v>321</v>
      </c>
      <c r="D375" t="str">
        <f>_xlfn.XLOOKUP(B375, 'Cust_inform'!A:A, 'Cust_inform'!E:E, "NOT FOUND")</f>
        <v>EMPLOYED</v>
      </c>
      <c r="E375">
        <f>_xlfn.XLOOKUP(B375, 'Cust_inform'!A:A, 'Cust_inform'!D:D)</f>
        <v>6</v>
      </c>
      <c r="F375" t="str">
        <f>_xlfn.XLOOKUP(E375,Postcodes!A:A, Postcodes!B:B, "NOT FOUND")</f>
        <v>E</v>
      </c>
    </row>
    <row r="376" spans="1:6" x14ac:dyDescent="0.25">
      <c r="A376" s="1">
        <v>41690</v>
      </c>
      <c r="B376">
        <v>11</v>
      </c>
      <c r="C376">
        <v>325</v>
      </c>
      <c r="D376" t="str">
        <f>_xlfn.XLOOKUP(B376, 'Cust_inform'!A:A, 'Cust_inform'!E:E, "NOT FOUND")</f>
        <v>EMPLOYED</v>
      </c>
      <c r="E376">
        <f>_xlfn.XLOOKUP(B376, 'Cust_inform'!A:A, 'Cust_inform'!D:D)</f>
        <v>6</v>
      </c>
      <c r="F376" t="str">
        <f>_xlfn.XLOOKUP(E376,Postcodes!A:A, Postcodes!B:B, "NOT FOUND")</f>
        <v>E</v>
      </c>
    </row>
    <row r="377" spans="1:6" x14ac:dyDescent="0.25">
      <c r="A377" s="1">
        <v>41702</v>
      </c>
      <c r="B377">
        <v>11</v>
      </c>
      <c r="C377">
        <v>275</v>
      </c>
      <c r="D377" t="str">
        <f>_xlfn.XLOOKUP(B377, 'Cust_inform'!A:A, 'Cust_inform'!E:E, "NOT FOUND")</f>
        <v>EMPLOYED</v>
      </c>
      <c r="E377">
        <f>_xlfn.XLOOKUP(B377, 'Cust_inform'!A:A, 'Cust_inform'!D:D)</f>
        <v>6</v>
      </c>
      <c r="F377" t="str">
        <f>_xlfn.XLOOKUP(E377,Postcodes!A:A, Postcodes!B:B, "NOT FOUND")</f>
        <v>E</v>
      </c>
    </row>
    <row r="378" spans="1:6" x14ac:dyDescent="0.25">
      <c r="A378" s="1">
        <v>41709</v>
      </c>
      <c r="B378">
        <v>11</v>
      </c>
      <c r="C378">
        <v>283</v>
      </c>
      <c r="D378" t="str">
        <f>_xlfn.XLOOKUP(B378, 'Cust_inform'!A:A, 'Cust_inform'!E:E, "NOT FOUND")</f>
        <v>EMPLOYED</v>
      </c>
      <c r="E378">
        <f>_xlfn.XLOOKUP(B378, 'Cust_inform'!A:A, 'Cust_inform'!D:D)</f>
        <v>6</v>
      </c>
      <c r="F378" t="str">
        <f>_xlfn.XLOOKUP(E378,Postcodes!A:A, Postcodes!B:B, "NOT FOUND")</f>
        <v>E</v>
      </c>
    </row>
    <row r="379" spans="1:6" x14ac:dyDescent="0.25">
      <c r="A379" s="1">
        <v>41714</v>
      </c>
      <c r="B379">
        <v>11</v>
      </c>
      <c r="C379">
        <v>335</v>
      </c>
      <c r="D379" t="str">
        <f>_xlfn.XLOOKUP(B379, 'Cust_inform'!A:A, 'Cust_inform'!E:E, "NOT FOUND")</f>
        <v>EMPLOYED</v>
      </c>
      <c r="E379">
        <f>_xlfn.XLOOKUP(B379, 'Cust_inform'!A:A, 'Cust_inform'!D:D)</f>
        <v>6</v>
      </c>
      <c r="F379" t="str">
        <f>_xlfn.XLOOKUP(E379,Postcodes!A:A, Postcodes!B:B, "NOT FOUND")</f>
        <v>E</v>
      </c>
    </row>
    <row r="380" spans="1:6" x14ac:dyDescent="0.25">
      <c r="A380" s="1">
        <v>41724</v>
      </c>
      <c r="B380">
        <v>11</v>
      </c>
      <c r="C380">
        <v>284</v>
      </c>
      <c r="D380" t="str">
        <f>_xlfn.XLOOKUP(B380, 'Cust_inform'!A:A, 'Cust_inform'!E:E, "NOT FOUND")</f>
        <v>EMPLOYED</v>
      </c>
      <c r="E380">
        <f>_xlfn.XLOOKUP(B380, 'Cust_inform'!A:A, 'Cust_inform'!D:D)</f>
        <v>6</v>
      </c>
      <c r="F380" t="str">
        <f>_xlfn.XLOOKUP(E380,Postcodes!A:A, Postcodes!B:B, "NOT FOUND")</f>
        <v>E</v>
      </c>
    </row>
    <row r="381" spans="1:6" x14ac:dyDescent="0.25">
      <c r="A381" s="1">
        <v>41731</v>
      </c>
      <c r="B381">
        <v>11</v>
      </c>
      <c r="C381">
        <v>314</v>
      </c>
      <c r="D381" t="str">
        <f>_xlfn.XLOOKUP(B381, 'Cust_inform'!A:A, 'Cust_inform'!E:E, "NOT FOUND")</f>
        <v>EMPLOYED</v>
      </c>
      <c r="E381">
        <f>_xlfn.XLOOKUP(B381, 'Cust_inform'!A:A, 'Cust_inform'!D:D)</f>
        <v>6</v>
      </c>
      <c r="F381" t="str">
        <f>_xlfn.XLOOKUP(E381,Postcodes!A:A, Postcodes!B:B, "NOT FOUND")</f>
        <v>E</v>
      </c>
    </row>
    <row r="382" spans="1:6" x14ac:dyDescent="0.25">
      <c r="A382" s="1">
        <v>41754</v>
      </c>
      <c r="B382">
        <v>11</v>
      </c>
      <c r="C382">
        <v>341</v>
      </c>
      <c r="D382" t="str">
        <f>_xlfn.XLOOKUP(B382, 'Cust_inform'!A:A, 'Cust_inform'!E:E, "NOT FOUND")</f>
        <v>EMPLOYED</v>
      </c>
      <c r="E382">
        <f>_xlfn.XLOOKUP(B382, 'Cust_inform'!A:A, 'Cust_inform'!D:D)</f>
        <v>6</v>
      </c>
      <c r="F382" t="str">
        <f>_xlfn.XLOOKUP(E382,Postcodes!A:A, Postcodes!B:B, "NOT FOUND")</f>
        <v>E</v>
      </c>
    </row>
    <row r="383" spans="1:6" x14ac:dyDescent="0.25">
      <c r="A383" s="1">
        <v>41759</v>
      </c>
      <c r="B383">
        <v>11</v>
      </c>
      <c r="C383">
        <v>276</v>
      </c>
      <c r="D383" t="str">
        <f>_xlfn.XLOOKUP(B383, 'Cust_inform'!A:A, 'Cust_inform'!E:E, "NOT FOUND")</f>
        <v>EMPLOYED</v>
      </c>
      <c r="E383">
        <f>_xlfn.XLOOKUP(B383, 'Cust_inform'!A:A, 'Cust_inform'!D:D)</f>
        <v>6</v>
      </c>
      <c r="F383" t="str">
        <f>_xlfn.XLOOKUP(E383,Postcodes!A:A, Postcodes!B:B, "NOT FOUND")</f>
        <v>E</v>
      </c>
    </row>
    <row r="384" spans="1:6" x14ac:dyDescent="0.25">
      <c r="A384" s="1">
        <v>41775</v>
      </c>
      <c r="B384">
        <v>11</v>
      </c>
      <c r="C384">
        <v>310</v>
      </c>
      <c r="D384" t="str">
        <f>_xlfn.XLOOKUP(B384, 'Cust_inform'!A:A, 'Cust_inform'!E:E, "NOT FOUND")</f>
        <v>EMPLOYED</v>
      </c>
      <c r="E384">
        <f>_xlfn.XLOOKUP(B384, 'Cust_inform'!A:A, 'Cust_inform'!D:D)</f>
        <v>6</v>
      </c>
      <c r="F384" t="str">
        <f>_xlfn.XLOOKUP(E384,Postcodes!A:A, Postcodes!B:B, "NOT FOUND")</f>
        <v>E</v>
      </c>
    </row>
    <row r="385" spans="1:6" x14ac:dyDescent="0.25">
      <c r="A385" s="1">
        <v>41776</v>
      </c>
      <c r="B385">
        <v>11</v>
      </c>
      <c r="C385">
        <v>315</v>
      </c>
      <c r="D385" t="str">
        <f>_xlfn.XLOOKUP(B385, 'Cust_inform'!A:A, 'Cust_inform'!E:E, "NOT FOUND")</f>
        <v>EMPLOYED</v>
      </c>
      <c r="E385">
        <f>_xlfn.XLOOKUP(B385, 'Cust_inform'!A:A, 'Cust_inform'!D:D)</f>
        <v>6</v>
      </c>
      <c r="F385" t="str">
        <f>_xlfn.XLOOKUP(E385,Postcodes!A:A, Postcodes!B:B, "NOT FOUND")</f>
        <v>E</v>
      </c>
    </row>
    <row r="386" spans="1:6" x14ac:dyDescent="0.25">
      <c r="A386" s="1">
        <v>41791</v>
      </c>
      <c r="B386">
        <v>11</v>
      </c>
      <c r="C386">
        <v>315</v>
      </c>
      <c r="D386" t="str">
        <f>_xlfn.XLOOKUP(B386, 'Cust_inform'!A:A, 'Cust_inform'!E:E, "NOT FOUND")</f>
        <v>EMPLOYED</v>
      </c>
      <c r="E386">
        <f>_xlfn.XLOOKUP(B386, 'Cust_inform'!A:A, 'Cust_inform'!D:D)</f>
        <v>6</v>
      </c>
      <c r="F386" t="str">
        <f>_xlfn.XLOOKUP(E386,Postcodes!A:A, Postcodes!B:B, "NOT FOUND")</f>
        <v>E</v>
      </c>
    </row>
    <row r="387" spans="1:6" x14ac:dyDescent="0.25">
      <c r="A387" s="1">
        <v>41799</v>
      </c>
      <c r="B387">
        <v>11</v>
      </c>
      <c r="C387">
        <v>285</v>
      </c>
      <c r="D387" t="str">
        <f>_xlfn.XLOOKUP(B387, 'Cust_inform'!A:A, 'Cust_inform'!E:E, "NOT FOUND")</f>
        <v>EMPLOYED</v>
      </c>
      <c r="E387">
        <f>_xlfn.XLOOKUP(B387, 'Cust_inform'!A:A, 'Cust_inform'!D:D)</f>
        <v>6</v>
      </c>
      <c r="F387" t="str">
        <f>_xlfn.XLOOKUP(E387,Postcodes!A:A, Postcodes!B:B, "NOT FOUND")</f>
        <v>E</v>
      </c>
    </row>
    <row r="388" spans="1:6" x14ac:dyDescent="0.25">
      <c r="A388" s="1">
        <v>41809</v>
      </c>
      <c r="B388">
        <v>11</v>
      </c>
      <c r="C388">
        <v>332</v>
      </c>
      <c r="D388" t="str">
        <f>_xlfn.XLOOKUP(B388, 'Cust_inform'!A:A, 'Cust_inform'!E:E, "NOT FOUND")</f>
        <v>EMPLOYED</v>
      </c>
      <c r="E388">
        <f>_xlfn.XLOOKUP(B388, 'Cust_inform'!A:A, 'Cust_inform'!D:D)</f>
        <v>6</v>
      </c>
      <c r="F388" t="str">
        <f>_xlfn.XLOOKUP(E388,Postcodes!A:A, Postcodes!B:B, "NOT FOUND")</f>
        <v>E</v>
      </c>
    </row>
    <row r="389" spans="1:6" x14ac:dyDescent="0.25">
      <c r="A389" s="1">
        <v>41618</v>
      </c>
      <c r="B389">
        <v>12</v>
      </c>
      <c r="C389">
        <v>197</v>
      </c>
      <c r="D389" t="str">
        <f>_xlfn.XLOOKUP(B389, 'Cust_inform'!A:A, 'Cust_inform'!E:E, "NOT FOUND")</f>
        <v>EMPLOYED</v>
      </c>
      <c r="E389">
        <f>_xlfn.XLOOKUP(B389, 'Cust_inform'!A:A, 'Cust_inform'!D:D)</f>
        <v>8</v>
      </c>
      <c r="F389" t="str">
        <f>_xlfn.XLOOKUP(E389,Postcodes!A:A, Postcodes!B:B, "NOT FOUND")</f>
        <v>W</v>
      </c>
    </row>
    <row r="390" spans="1:6" x14ac:dyDescent="0.25">
      <c r="A390" s="1">
        <v>41633</v>
      </c>
      <c r="B390">
        <v>12</v>
      </c>
      <c r="C390">
        <v>209</v>
      </c>
      <c r="D390" t="str">
        <f>_xlfn.XLOOKUP(B390, 'Cust_inform'!A:A, 'Cust_inform'!E:E, "NOT FOUND")</f>
        <v>EMPLOYED</v>
      </c>
      <c r="E390">
        <f>_xlfn.XLOOKUP(B390, 'Cust_inform'!A:A, 'Cust_inform'!D:D)</f>
        <v>8</v>
      </c>
      <c r="F390" t="str">
        <f>_xlfn.XLOOKUP(E390,Postcodes!A:A, Postcodes!B:B, "NOT FOUND")</f>
        <v>W</v>
      </c>
    </row>
    <row r="391" spans="1:6" x14ac:dyDescent="0.25">
      <c r="A391" s="1">
        <v>41633</v>
      </c>
      <c r="B391">
        <v>12</v>
      </c>
      <c r="C391">
        <v>216</v>
      </c>
      <c r="D391" t="str">
        <f>_xlfn.XLOOKUP(B391, 'Cust_inform'!A:A, 'Cust_inform'!E:E, "NOT FOUND")</f>
        <v>EMPLOYED</v>
      </c>
      <c r="E391">
        <f>_xlfn.XLOOKUP(B391, 'Cust_inform'!A:A, 'Cust_inform'!D:D)</f>
        <v>8</v>
      </c>
      <c r="F391" t="str">
        <f>_xlfn.XLOOKUP(E391,Postcodes!A:A, Postcodes!B:B, "NOT FOUND")</f>
        <v>W</v>
      </c>
    </row>
    <row r="392" spans="1:6" x14ac:dyDescent="0.25">
      <c r="A392" s="1">
        <v>41638</v>
      </c>
      <c r="B392">
        <v>12</v>
      </c>
      <c r="C392">
        <v>228</v>
      </c>
      <c r="D392" t="str">
        <f>_xlfn.XLOOKUP(B392, 'Cust_inform'!A:A, 'Cust_inform'!E:E, "NOT FOUND")</f>
        <v>EMPLOYED</v>
      </c>
      <c r="E392">
        <f>_xlfn.XLOOKUP(B392, 'Cust_inform'!A:A, 'Cust_inform'!D:D)</f>
        <v>8</v>
      </c>
      <c r="F392" t="str">
        <f>_xlfn.XLOOKUP(E392,Postcodes!A:A, Postcodes!B:B, "NOT FOUND")</f>
        <v>W</v>
      </c>
    </row>
    <row r="393" spans="1:6" x14ac:dyDescent="0.25">
      <c r="A393" s="1">
        <v>41646</v>
      </c>
      <c r="B393">
        <v>12</v>
      </c>
      <c r="C393">
        <v>187</v>
      </c>
      <c r="D393" t="str">
        <f>_xlfn.XLOOKUP(B393, 'Cust_inform'!A:A, 'Cust_inform'!E:E, "NOT FOUND")</f>
        <v>EMPLOYED</v>
      </c>
      <c r="E393">
        <f>_xlfn.XLOOKUP(B393, 'Cust_inform'!A:A, 'Cust_inform'!D:D)</f>
        <v>8</v>
      </c>
      <c r="F393" t="str">
        <f>_xlfn.XLOOKUP(E393,Postcodes!A:A, Postcodes!B:B, "NOT FOUND")</f>
        <v>W</v>
      </c>
    </row>
    <row r="394" spans="1:6" x14ac:dyDescent="0.25">
      <c r="A394" s="1">
        <v>41647</v>
      </c>
      <c r="B394">
        <v>12</v>
      </c>
      <c r="C394">
        <v>231</v>
      </c>
      <c r="D394" t="str">
        <f>_xlfn.XLOOKUP(B394, 'Cust_inform'!A:A, 'Cust_inform'!E:E, "NOT FOUND")</f>
        <v>EMPLOYED</v>
      </c>
      <c r="E394">
        <f>_xlfn.XLOOKUP(B394, 'Cust_inform'!A:A, 'Cust_inform'!D:D)</f>
        <v>8</v>
      </c>
      <c r="F394" t="str">
        <f>_xlfn.XLOOKUP(E394,Postcodes!A:A, Postcodes!B:B, "NOT FOUND")</f>
        <v>W</v>
      </c>
    </row>
    <row r="395" spans="1:6" x14ac:dyDescent="0.25">
      <c r="A395" s="1">
        <v>41660</v>
      </c>
      <c r="B395">
        <v>12</v>
      </c>
      <c r="C395">
        <v>194</v>
      </c>
      <c r="D395" t="str">
        <f>_xlfn.XLOOKUP(B395, 'Cust_inform'!A:A, 'Cust_inform'!E:E, "NOT FOUND")</f>
        <v>EMPLOYED</v>
      </c>
      <c r="E395">
        <f>_xlfn.XLOOKUP(B395, 'Cust_inform'!A:A, 'Cust_inform'!D:D)</f>
        <v>8</v>
      </c>
      <c r="F395" t="str">
        <f>_xlfn.XLOOKUP(E395,Postcodes!A:A, Postcodes!B:B, "NOT FOUND")</f>
        <v>W</v>
      </c>
    </row>
    <row r="396" spans="1:6" x14ac:dyDescent="0.25">
      <c r="A396" s="1">
        <v>41662</v>
      </c>
      <c r="B396">
        <v>12</v>
      </c>
      <c r="C396">
        <v>207</v>
      </c>
      <c r="D396" t="str">
        <f>_xlfn.XLOOKUP(B396, 'Cust_inform'!A:A, 'Cust_inform'!E:E, "NOT FOUND")</f>
        <v>EMPLOYED</v>
      </c>
      <c r="E396">
        <f>_xlfn.XLOOKUP(B396, 'Cust_inform'!A:A, 'Cust_inform'!D:D)</f>
        <v>8</v>
      </c>
      <c r="F396" t="str">
        <f>_xlfn.XLOOKUP(E396,Postcodes!A:A, Postcodes!B:B, "NOT FOUND")</f>
        <v>W</v>
      </c>
    </row>
    <row r="397" spans="1:6" x14ac:dyDescent="0.25">
      <c r="A397" s="1">
        <v>41670</v>
      </c>
      <c r="B397">
        <v>12</v>
      </c>
      <c r="C397">
        <v>220</v>
      </c>
      <c r="D397" t="str">
        <f>_xlfn.XLOOKUP(B397, 'Cust_inform'!A:A, 'Cust_inform'!E:E, "NOT FOUND")</f>
        <v>EMPLOYED</v>
      </c>
      <c r="E397">
        <f>_xlfn.XLOOKUP(B397, 'Cust_inform'!A:A, 'Cust_inform'!D:D)</f>
        <v>8</v>
      </c>
      <c r="F397" t="str">
        <f>_xlfn.XLOOKUP(E397,Postcodes!A:A, Postcodes!B:B, "NOT FOUND")</f>
        <v>W</v>
      </c>
    </row>
    <row r="398" spans="1:6" x14ac:dyDescent="0.25">
      <c r="A398" s="1">
        <v>41679</v>
      </c>
      <c r="B398">
        <v>12</v>
      </c>
      <c r="C398">
        <v>189</v>
      </c>
      <c r="D398" t="str">
        <f>_xlfn.XLOOKUP(B398, 'Cust_inform'!A:A, 'Cust_inform'!E:E, "NOT FOUND")</f>
        <v>EMPLOYED</v>
      </c>
      <c r="E398">
        <f>_xlfn.XLOOKUP(B398, 'Cust_inform'!A:A, 'Cust_inform'!D:D)</f>
        <v>8</v>
      </c>
      <c r="F398" t="str">
        <f>_xlfn.XLOOKUP(E398,Postcodes!A:A, Postcodes!B:B, "NOT FOUND")</f>
        <v>W</v>
      </c>
    </row>
    <row r="399" spans="1:6" x14ac:dyDescent="0.25">
      <c r="A399" s="1">
        <v>41681</v>
      </c>
      <c r="B399">
        <v>12</v>
      </c>
      <c r="C399">
        <v>208</v>
      </c>
      <c r="D399" t="str">
        <f>_xlfn.XLOOKUP(B399, 'Cust_inform'!A:A, 'Cust_inform'!E:E, "NOT FOUND")</f>
        <v>EMPLOYED</v>
      </c>
      <c r="E399">
        <f>_xlfn.XLOOKUP(B399, 'Cust_inform'!A:A, 'Cust_inform'!D:D)</f>
        <v>8</v>
      </c>
      <c r="F399" t="str">
        <f>_xlfn.XLOOKUP(E399,Postcodes!A:A, Postcodes!B:B, "NOT FOUND")</f>
        <v>W</v>
      </c>
    </row>
    <row r="400" spans="1:6" x14ac:dyDescent="0.25">
      <c r="A400" s="1">
        <v>41685</v>
      </c>
      <c r="B400">
        <v>12</v>
      </c>
      <c r="C400">
        <v>205</v>
      </c>
      <c r="D400" t="str">
        <f>_xlfn.XLOOKUP(B400, 'Cust_inform'!A:A, 'Cust_inform'!E:E, "NOT FOUND")</f>
        <v>EMPLOYED</v>
      </c>
      <c r="E400">
        <f>_xlfn.XLOOKUP(B400, 'Cust_inform'!A:A, 'Cust_inform'!D:D)</f>
        <v>8</v>
      </c>
      <c r="F400" t="str">
        <f>_xlfn.XLOOKUP(E400,Postcodes!A:A, Postcodes!B:B, "NOT FOUND")</f>
        <v>W</v>
      </c>
    </row>
    <row r="401" spans="1:6" x14ac:dyDescent="0.25">
      <c r="A401" s="1">
        <v>41686</v>
      </c>
      <c r="B401">
        <v>12</v>
      </c>
      <c r="C401">
        <v>224</v>
      </c>
      <c r="D401" t="str">
        <f>_xlfn.XLOOKUP(B401, 'Cust_inform'!A:A, 'Cust_inform'!E:E, "NOT FOUND")</f>
        <v>EMPLOYED</v>
      </c>
      <c r="E401">
        <f>_xlfn.XLOOKUP(B401, 'Cust_inform'!A:A, 'Cust_inform'!D:D)</f>
        <v>8</v>
      </c>
      <c r="F401" t="str">
        <f>_xlfn.XLOOKUP(E401,Postcodes!A:A, Postcodes!B:B, "NOT FOUND")</f>
        <v>W</v>
      </c>
    </row>
    <row r="402" spans="1:6" x14ac:dyDescent="0.25">
      <c r="A402" s="1">
        <v>41696</v>
      </c>
      <c r="B402">
        <v>12</v>
      </c>
      <c r="C402">
        <v>192</v>
      </c>
      <c r="D402" t="str">
        <f>_xlfn.XLOOKUP(B402, 'Cust_inform'!A:A, 'Cust_inform'!E:E, "NOT FOUND")</f>
        <v>EMPLOYED</v>
      </c>
      <c r="E402">
        <f>_xlfn.XLOOKUP(B402, 'Cust_inform'!A:A, 'Cust_inform'!D:D)</f>
        <v>8</v>
      </c>
      <c r="F402" t="str">
        <f>_xlfn.XLOOKUP(E402,Postcodes!A:A, Postcodes!B:B, "NOT FOUND")</f>
        <v>W</v>
      </c>
    </row>
    <row r="403" spans="1:6" x14ac:dyDescent="0.25">
      <c r="A403" s="1">
        <v>41701</v>
      </c>
      <c r="B403">
        <v>12</v>
      </c>
      <c r="C403">
        <v>194</v>
      </c>
      <c r="D403" t="str">
        <f>_xlfn.XLOOKUP(B403, 'Cust_inform'!A:A, 'Cust_inform'!E:E, "NOT FOUND")</f>
        <v>EMPLOYED</v>
      </c>
      <c r="E403">
        <f>_xlfn.XLOOKUP(B403, 'Cust_inform'!A:A, 'Cust_inform'!D:D)</f>
        <v>8</v>
      </c>
      <c r="F403" t="str">
        <f>_xlfn.XLOOKUP(E403,Postcodes!A:A, Postcodes!B:B, "NOT FOUND")</f>
        <v>W</v>
      </c>
    </row>
    <row r="404" spans="1:6" x14ac:dyDescent="0.25">
      <c r="A404" s="1">
        <v>41705</v>
      </c>
      <c r="B404">
        <v>12</v>
      </c>
      <c r="C404">
        <v>208</v>
      </c>
      <c r="D404" t="str">
        <f>_xlfn.XLOOKUP(B404, 'Cust_inform'!A:A, 'Cust_inform'!E:E, "NOT FOUND")</f>
        <v>EMPLOYED</v>
      </c>
      <c r="E404">
        <f>_xlfn.XLOOKUP(B404, 'Cust_inform'!A:A, 'Cust_inform'!D:D)</f>
        <v>8</v>
      </c>
      <c r="F404" t="str">
        <f>_xlfn.XLOOKUP(E404,Postcodes!A:A, Postcodes!B:B, "NOT FOUND")</f>
        <v>W</v>
      </c>
    </row>
    <row r="405" spans="1:6" x14ac:dyDescent="0.25">
      <c r="A405" s="1">
        <v>41729</v>
      </c>
      <c r="B405">
        <v>12</v>
      </c>
      <c r="C405">
        <v>187</v>
      </c>
      <c r="D405" t="str">
        <f>_xlfn.XLOOKUP(B405, 'Cust_inform'!A:A, 'Cust_inform'!E:E, "NOT FOUND")</f>
        <v>EMPLOYED</v>
      </c>
      <c r="E405">
        <f>_xlfn.XLOOKUP(B405, 'Cust_inform'!A:A, 'Cust_inform'!D:D)</f>
        <v>8</v>
      </c>
      <c r="F405" t="str">
        <f>_xlfn.XLOOKUP(E405,Postcodes!A:A, Postcodes!B:B, "NOT FOUND")</f>
        <v>W</v>
      </c>
    </row>
    <row r="406" spans="1:6" x14ac:dyDescent="0.25">
      <c r="A406" s="1">
        <v>41749</v>
      </c>
      <c r="B406">
        <v>12</v>
      </c>
      <c r="C406">
        <v>224</v>
      </c>
      <c r="D406" t="str">
        <f>_xlfn.XLOOKUP(B406, 'Cust_inform'!A:A, 'Cust_inform'!E:E, "NOT FOUND")</f>
        <v>EMPLOYED</v>
      </c>
      <c r="E406">
        <f>_xlfn.XLOOKUP(B406, 'Cust_inform'!A:A, 'Cust_inform'!D:D)</f>
        <v>8</v>
      </c>
      <c r="F406" t="str">
        <f>_xlfn.XLOOKUP(E406,Postcodes!A:A, Postcodes!B:B, "NOT FOUND")</f>
        <v>W</v>
      </c>
    </row>
    <row r="407" spans="1:6" x14ac:dyDescent="0.25">
      <c r="A407" s="1">
        <v>41754</v>
      </c>
      <c r="B407">
        <v>12</v>
      </c>
      <c r="C407">
        <v>192</v>
      </c>
      <c r="D407" t="str">
        <f>_xlfn.XLOOKUP(B407, 'Cust_inform'!A:A, 'Cust_inform'!E:E, "NOT FOUND")</f>
        <v>EMPLOYED</v>
      </c>
      <c r="E407">
        <f>_xlfn.XLOOKUP(B407, 'Cust_inform'!A:A, 'Cust_inform'!D:D)</f>
        <v>8</v>
      </c>
      <c r="F407" t="str">
        <f>_xlfn.XLOOKUP(E407,Postcodes!A:A, Postcodes!B:B, "NOT FOUND")</f>
        <v>W</v>
      </c>
    </row>
    <row r="408" spans="1:6" x14ac:dyDescent="0.25">
      <c r="A408" s="1">
        <v>41765</v>
      </c>
      <c r="B408">
        <v>12</v>
      </c>
      <c r="C408">
        <v>210</v>
      </c>
      <c r="D408" t="str">
        <f>_xlfn.XLOOKUP(B408, 'Cust_inform'!A:A, 'Cust_inform'!E:E, "NOT FOUND")</f>
        <v>EMPLOYED</v>
      </c>
      <c r="E408">
        <f>_xlfn.XLOOKUP(B408, 'Cust_inform'!A:A, 'Cust_inform'!D:D)</f>
        <v>8</v>
      </c>
      <c r="F408" t="str">
        <f>_xlfn.XLOOKUP(E408,Postcodes!A:A, Postcodes!B:B, "NOT FOUND")</f>
        <v>W</v>
      </c>
    </row>
    <row r="409" spans="1:6" x14ac:dyDescent="0.25">
      <c r="A409" s="1">
        <v>41769</v>
      </c>
      <c r="B409">
        <v>12</v>
      </c>
      <c r="C409">
        <v>211</v>
      </c>
      <c r="D409" t="str">
        <f>_xlfn.XLOOKUP(B409, 'Cust_inform'!A:A, 'Cust_inform'!E:E, "NOT FOUND")</f>
        <v>EMPLOYED</v>
      </c>
      <c r="E409">
        <f>_xlfn.XLOOKUP(B409, 'Cust_inform'!A:A, 'Cust_inform'!D:D)</f>
        <v>8</v>
      </c>
      <c r="F409" t="str">
        <f>_xlfn.XLOOKUP(E409,Postcodes!A:A, Postcodes!B:B, "NOT FOUND")</f>
        <v>W</v>
      </c>
    </row>
    <row r="410" spans="1:6" x14ac:dyDescent="0.25">
      <c r="A410" s="1">
        <v>41770</v>
      </c>
      <c r="B410">
        <v>12</v>
      </c>
      <c r="C410">
        <v>214</v>
      </c>
      <c r="D410" t="str">
        <f>_xlfn.XLOOKUP(B410, 'Cust_inform'!A:A, 'Cust_inform'!E:E, "NOT FOUND")</f>
        <v>EMPLOYED</v>
      </c>
      <c r="E410">
        <f>_xlfn.XLOOKUP(B410, 'Cust_inform'!A:A, 'Cust_inform'!D:D)</f>
        <v>8</v>
      </c>
      <c r="F410" t="str">
        <f>_xlfn.XLOOKUP(E410,Postcodes!A:A, Postcodes!B:B, "NOT FOUND")</f>
        <v>W</v>
      </c>
    </row>
    <row r="411" spans="1:6" x14ac:dyDescent="0.25">
      <c r="A411" s="1">
        <v>41775</v>
      </c>
      <c r="B411">
        <v>12</v>
      </c>
      <c r="C411">
        <v>208</v>
      </c>
      <c r="D411" t="str">
        <f>_xlfn.XLOOKUP(B411, 'Cust_inform'!A:A, 'Cust_inform'!E:E, "NOT FOUND")</f>
        <v>EMPLOYED</v>
      </c>
      <c r="E411">
        <f>_xlfn.XLOOKUP(B411, 'Cust_inform'!A:A, 'Cust_inform'!D:D)</f>
        <v>8</v>
      </c>
      <c r="F411" t="str">
        <f>_xlfn.XLOOKUP(E411,Postcodes!A:A, Postcodes!B:B, "NOT FOUND")</f>
        <v>W</v>
      </c>
    </row>
    <row r="412" spans="1:6" x14ac:dyDescent="0.25">
      <c r="A412" s="1">
        <v>41778</v>
      </c>
      <c r="B412">
        <v>12</v>
      </c>
      <c r="C412">
        <v>201</v>
      </c>
      <c r="D412" t="str">
        <f>_xlfn.XLOOKUP(B412, 'Cust_inform'!A:A, 'Cust_inform'!E:E, "NOT FOUND")</f>
        <v>EMPLOYED</v>
      </c>
      <c r="E412">
        <f>_xlfn.XLOOKUP(B412, 'Cust_inform'!A:A, 'Cust_inform'!D:D)</f>
        <v>8</v>
      </c>
      <c r="F412" t="str">
        <f>_xlfn.XLOOKUP(E412,Postcodes!A:A, Postcodes!B:B, "NOT FOUND")</f>
        <v>W</v>
      </c>
    </row>
    <row r="413" spans="1:6" x14ac:dyDescent="0.25">
      <c r="A413" s="1">
        <v>41797</v>
      </c>
      <c r="B413">
        <v>12</v>
      </c>
      <c r="C413">
        <v>193</v>
      </c>
      <c r="D413" t="str">
        <f>_xlfn.XLOOKUP(B413, 'Cust_inform'!A:A, 'Cust_inform'!E:E, "NOT FOUND")</f>
        <v>EMPLOYED</v>
      </c>
      <c r="E413">
        <f>_xlfn.XLOOKUP(B413, 'Cust_inform'!A:A, 'Cust_inform'!D:D)</f>
        <v>8</v>
      </c>
      <c r="F413" t="str">
        <f>_xlfn.XLOOKUP(E413,Postcodes!A:A, Postcodes!B:B, "NOT FOUND")</f>
        <v>W</v>
      </c>
    </row>
    <row r="414" spans="1:6" x14ac:dyDescent="0.25">
      <c r="A414" s="1">
        <v>41797</v>
      </c>
      <c r="B414">
        <v>12</v>
      </c>
      <c r="C414">
        <v>227</v>
      </c>
      <c r="D414" t="str">
        <f>_xlfn.XLOOKUP(B414, 'Cust_inform'!A:A, 'Cust_inform'!E:E, "NOT FOUND")</f>
        <v>EMPLOYED</v>
      </c>
      <c r="E414">
        <f>_xlfn.XLOOKUP(B414, 'Cust_inform'!A:A, 'Cust_inform'!D:D)</f>
        <v>8</v>
      </c>
      <c r="F414" t="str">
        <f>_xlfn.XLOOKUP(E414,Postcodes!A:A, Postcodes!B:B, "NOT FOUND")</f>
        <v>W</v>
      </c>
    </row>
    <row r="415" spans="1:6" x14ac:dyDescent="0.25">
      <c r="A415" s="1">
        <v>41799</v>
      </c>
      <c r="B415">
        <v>12</v>
      </c>
      <c r="C415">
        <v>223</v>
      </c>
      <c r="D415" t="str">
        <f>_xlfn.XLOOKUP(B415, 'Cust_inform'!A:A, 'Cust_inform'!E:E, "NOT FOUND")</f>
        <v>EMPLOYED</v>
      </c>
      <c r="E415">
        <f>_xlfn.XLOOKUP(B415, 'Cust_inform'!A:A, 'Cust_inform'!D:D)</f>
        <v>8</v>
      </c>
      <c r="F415" t="str">
        <f>_xlfn.XLOOKUP(E415,Postcodes!A:A, Postcodes!B:B, "NOT FOUND")</f>
        <v>W</v>
      </c>
    </row>
    <row r="416" spans="1:6" x14ac:dyDescent="0.25">
      <c r="A416" s="1">
        <v>41799</v>
      </c>
      <c r="B416">
        <v>12</v>
      </c>
      <c r="C416">
        <v>205</v>
      </c>
      <c r="D416" t="str">
        <f>_xlfn.XLOOKUP(B416, 'Cust_inform'!A:A, 'Cust_inform'!E:E, "NOT FOUND")</f>
        <v>EMPLOYED</v>
      </c>
      <c r="E416">
        <f>_xlfn.XLOOKUP(B416, 'Cust_inform'!A:A, 'Cust_inform'!D:D)</f>
        <v>8</v>
      </c>
      <c r="F416" t="str">
        <f>_xlfn.XLOOKUP(E416,Postcodes!A:A, Postcodes!B:B, "NOT FOUND")</f>
        <v>W</v>
      </c>
    </row>
    <row r="417" spans="1:6" x14ac:dyDescent="0.25">
      <c r="A417" s="1">
        <v>41808</v>
      </c>
      <c r="B417">
        <v>12</v>
      </c>
      <c r="C417">
        <v>216</v>
      </c>
      <c r="D417" t="str">
        <f>_xlfn.XLOOKUP(B417, 'Cust_inform'!A:A, 'Cust_inform'!E:E, "NOT FOUND")</f>
        <v>EMPLOYED</v>
      </c>
      <c r="E417">
        <f>_xlfn.XLOOKUP(B417, 'Cust_inform'!A:A, 'Cust_inform'!D:D)</f>
        <v>8</v>
      </c>
      <c r="F417" t="str">
        <f>_xlfn.XLOOKUP(E417,Postcodes!A:A, Postcodes!B:B, "NOT FOUND")</f>
        <v>W</v>
      </c>
    </row>
    <row r="418" spans="1:6" x14ac:dyDescent="0.25">
      <c r="A418" s="1">
        <v>41814</v>
      </c>
      <c r="B418">
        <v>12</v>
      </c>
      <c r="C418">
        <v>199</v>
      </c>
      <c r="D418" t="str">
        <f>_xlfn.XLOOKUP(B418, 'Cust_inform'!A:A, 'Cust_inform'!E:E, "NOT FOUND")</f>
        <v>EMPLOYED</v>
      </c>
      <c r="E418">
        <f>_xlfn.XLOOKUP(B418, 'Cust_inform'!A:A, 'Cust_inform'!D:D)</f>
        <v>8</v>
      </c>
      <c r="F418" t="str">
        <f>_xlfn.XLOOKUP(E418,Postcodes!A:A, Postcodes!B:B, "NOT FOUND")</f>
        <v>W</v>
      </c>
    </row>
    <row r="419" spans="1:6" x14ac:dyDescent="0.25">
      <c r="A419" s="1">
        <v>41620</v>
      </c>
      <c r="B419">
        <v>13</v>
      </c>
      <c r="C419">
        <v>356</v>
      </c>
      <c r="D419" t="str">
        <f>_xlfn.XLOOKUP(B419, 'Cust_inform'!A:A, 'Cust_inform'!E:E, "NOT FOUND")</f>
        <v>UNEMPLOYED</v>
      </c>
      <c r="E419">
        <f>_xlfn.XLOOKUP(B419, 'Cust_inform'!A:A, 'Cust_inform'!D:D)</f>
        <v>3</v>
      </c>
      <c r="F419" t="str">
        <f>_xlfn.XLOOKUP(E419,Postcodes!A:A, Postcodes!B:B, "NOT FOUND")</f>
        <v>E</v>
      </c>
    </row>
    <row r="420" spans="1:6" x14ac:dyDescent="0.25">
      <c r="A420" s="1">
        <v>41626</v>
      </c>
      <c r="B420">
        <v>13</v>
      </c>
      <c r="C420">
        <v>341</v>
      </c>
      <c r="D420" t="str">
        <f>_xlfn.XLOOKUP(B420, 'Cust_inform'!A:A, 'Cust_inform'!E:E, "NOT FOUND")</f>
        <v>UNEMPLOYED</v>
      </c>
      <c r="E420">
        <f>_xlfn.XLOOKUP(B420, 'Cust_inform'!A:A, 'Cust_inform'!D:D)</f>
        <v>3</v>
      </c>
      <c r="F420" t="str">
        <f>_xlfn.XLOOKUP(E420,Postcodes!A:A, Postcodes!B:B, "NOT FOUND")</f>
        <v>E</v>
      </c>
    </row>
    <row r="421" spans="1:6" x14ac:dyDescent="0.25">
      <c r="A421" s="1">
        <v>41649</v>
      </c>
      <c r="B421">
        <v>13</v>
      </c>
      <c r="C421">
        <v>347</v>
      </c>
      <c r="D421" t="str">
        <f>_xlfn.XLOOKUP(B421, 'Cust_inform'!A:A, 'Cust_inform'!E:E, "NOT FOUND")</f>
        <v>UNEMPLOYED</v>
      </c>
      <c r="E421">
        <f>_xlfn.XLOOKUP(B421, 'Cust_inform'!A:A, 'Cust_inform'!D:D)</f>
        <v>3</v>
      </c>
      <c r="F421" t="str">
        <f>_xlfn.XLOOKUP(E421,Postcodes!A:A, Postcodes!B:B, "NOT FOUND")</f>
        <v>E</v>
      </c>
    </row>
    <row r="422" spans="1:6" x14ac:dyDescent="0.25">
      <c r="A422" s="1">
        <v>41653</v>
      </c>
      <c r="B422">
        <v>13</v>
      </c>
      <c r="C422">
        <v>349</v>
      </c>
      <c r="D422" t="str">
        <f>_xlfn.XLOOKUP(B422, 'Cust_inform'!A:A, 'Cust_inform'!E:E, "NOT FOUND")</f>
        <v>UNEMPLOYED</v>
      </c>
      <c r="E422">
        <f>_xlfn.XLOOKUP(B422, 'Cust_inform'!A:A, 'Cust_inform'!D:D)</f>
        <v>3</v>
      </c>
      <c r="F422" t="str">
        <f>_xlfn.XLOOKUP(E422,Postcodes!A:A, Postcodes!B:B, "NOT FOUND")</f>
        <v>E</v>
      </c>
    </row>
    <row r="423" spans="1:6" x14ac:dyDescent="0.25">
      <c r="A423" s="1">
        <v>41659</v>
      </c>
      <c r="B423">
        <v>13</v>
      </c>
      <c r="C423">
        <v>370</v>
      </c>
      <c r="D423" t="str">
        <f>_xlfn.XLOOKUP(B423, 'Cust_inform'!A:A, 'Cust_inform'!E:E, "NOT FOUND")</f>
        <v>UNEMPLOYED</v>
      </c>
      <c r="E423">
        <f>_xlfn.XLOOKUP(B423, 'Cust_inform'!A:A, 'Cust_inform'!D:D)</f>
        <v>3</v>
      </c>
      <c r="F423" t="str">
        <f>_xlfn.XLOOKUP(E423,Postcodes!A:A, Postcodes!B:B, "NOT FOUND")</f>
        <v>E</v>
      </c>
    </row>
    <row r="424" spans="1:6" x14ac:dyDescent="0.25">
      <c r="A424" s="1">
        <v>41668</v>
      </c>
      <c r="B424">
        <v>13</v>
      </c>
      <c r="C424">
        <v>373</v>
      </c>
      <c r="D424" t="str">
        <f>_xlfn.XLOOKUP(B424, 'Cust_inform'!A:A, 'Cust_inform'!E:E, "NOT FOUND")</f>
        <v>UNEMPLOYED</v>
      </c>
      <c r="E424">
        <f>_xlfn.XLOOKUP(B424, 'Cust_inform'!A:A, 'Cust_inform'!D:D)</f>
        <v>3</v>
      </c>
      <c r="F424" t="str">
        <f>_xlfn.XLOOKUP(E424,Postcodes!A:A, Postcodes!B:B, "NOT FOUND")</f>
        <v>E</v>
      </c>
    </row>
    <row r="425" spans="1:6" x14ac:dyDescent="0.25">
      <c r="A425" s="1">
        <v>41672</v>
      </c>
      <c r="B425">
        <v>13</v>
      </c>
      <c r="C425">
        <v>368</v>
      </c>
      <c r="D425" t="str">
        <f>_xlfn.XLOOKUP(B425, 'Cust_inform'!A:A, 'Cust_inform'!E:E, "NOT FOUND")</f>
        <v>UNEMPLOYED</v>
      </c>
      <c r="E425">
        <f>_xlfn.XLOOKUP(B425, 'Cust_inform'!A:A, 'Cust_inform'!D:D)</f>
        <v>3</v>
      </c>
      <c r="F425" t="str">
        <f>_xlfn.XLOOKUP(E425,Postcodes!A:A, Postcodes!B:B, "NOT FOUND")</f>
        <v>E</v>
      </c>
    </row>
    <row r="426" spans="1:6" x14ac:dyDescent="0.25">
      <c r="A426" s="1">
        <v>41709</v>
      </c>
      <c r="B426">
        <v>13</v>
      </c>
      <c r="C426">
        <v>319</v>
      </c>
      <c r="D426" t="str">
        <f>_xlfn.XLOOKUP(B426, 'Cust_inform'!A:A, 'Cust_inform'!E:E, "NOT FOUND")</f>
        <v>UNEMPLOYED</v>
      </c>
      <c r="E426">
        <f>_xlfn.XLOOKUP(B426, 'Cust_inform'!A:A, 'Cust_inform'!D:D)</f>
        <v>3</v>
      </c>
      <c r="F426" t="str">
        <f>_xlfn.XLOOKUP(E426,Postcodes!A:A, Postcodes!B:B, "NOT FOUND")</f>
        <v>E</v>
      </c>
    </row>
    <row r="427" spans="1:6" x14ac:dyDescent="0.25">
      <c r="A427" s="1">
        <v>41712</v>
      </c>
      <c r="B427">
        <v>13</v>
      </c>
      <c r="C427">
        <v>357</v>
      </c>
      <c r="D427" t="str">
        <f>_xlfn.XLOOKUP(B427, 'Cust_inform'!A:A, 'Cust_inform'!E:E, "NOT FOUND")</f>
        <v>UNEMPLOYED</v>
      </c>
      <c r="E427">
        <f>_xlfn.XLOOKUP(B427, 'Cust_inform'!A:A, 'Cust_inform'!D:D)</f>
        <v>3</v>
      </c>
      <c r="F427" t="str">
        <f>_xlfn.XLOOKUP(E427,Postcodes!A:A, Postcodes!B:B, "NOT FOUND")</f>
        <v>E</v>
      </c>
    </row>
    <row r="428" spans="1:6" x14ac:dyDescent="0.25">
      <c r="A428" s="1">
        <v>41719</v>
      </c>
      <c r="B428">
        <v>13</v>
      </c>
      <c r="C428">
        <v>345</v>
      </c>
      <c r="D428" t="str">
        <f>_xlfn.XLOOKUP(B428, 'Cust_inform'!A:A, 'Cust_inform'!E:E, "NOT FOUND")</f>
        <v>UNEMPLOYED</v>
      </c>
      <c r="E428">
        <f>_xlfn.XLOOKUP(B428, 'Cust_inform'!A:A, 'Cust_inform'!D:D)</f>
        <v>3</v>
      </c>
      <c r="F428" t="str">
        <f>_xlfn.XLOOKUP(E428,Postcodes!A:A, Postcodes!B:B, "NOT FOUND")</f>
        <v>E</v>
      </c>
    </row>
    <row r="429" spans="1:6" x14ac:dyDescent="0.25">
      <c r="A429" s="1">
        <v>41743</v>
      </c>
      <c r="B429">
        <v>13</v>
      </c>
      <c r="C429">
        <v>345</v>
      </c>
      <c r="D429" t="str">
        <f>_xlfn.XLOOKUP(B429, 'Cust_inform'!A:A, 'Cust_inform'!E:E, "NOT FOUND")</f>
        <v>UNEMPLOYED</v>
      </c>
      <c r="E429">
        <f>_xlfn.XLOOKUP(B429, 'Cust_inform'!A:A, 'Cust_inform'!D:D)</f>
        <v>3</v>
      </c>
      <c r="F429" t="str">
        <f>_xlfn.XLOOKUP(E429,Postcodes!A:A, Postcodes!B:B, "NOT FOUND")</f>
        <v>E</v>
      </c>
    </row>
    <row r="430" spans="1:6" x14ac:dyDescent="0.25">
      <c r="A430" s="1">
        <v>41744</v>
      </c>
      <c r="B430">
        <v>13</v>
      </c>
      <c r="C430">
        <v>368</v>
      </c>
      <c r="D430" t="str">
        <f>_xlfn.XLOOKUP(B430, 'Cust_inform'!A:A, 'Cust_inform'!E:E, "NOT FOUND")</f>
        <v>UNEMPLOYED</v>
      </c>
      <c r="E430">
        <f>_xlfn.XLOOKUP(B430, 'Cust_inform'!A:A, 'Cust_inform'!D:D)</f>
        <v>3</v>
      </c>
      <c r="F430" t="str">
        <f>_xlfn.XLOOKUP(E430,Postcodes!A:A, Postcodes!B:B, "NOT FOUND")</f>
        <v>E</v>
      </c>
    </row>
    <row r="431" spans="1:6" x14ac:dyDescent="0.25">
      <c r="A431" s="1">
        <v>41748</v>
      </c>
      <c r="B431">
        <v>13</v>
      </c>
      <c r="C431">
        <v>311</v>
      </c>
      <c r="D431" t="str">
        <f>_xlfn.XLOOKUP(B431, 'Cust_inform'!A:A, 'Cust_inform'!E:E, "NOT FOUND")</f>
        <v>UNEMPLOYED</v>
      </c>
      <c r="E431">
        <f>_xlfn.XLOOKUP(B431, 'Cust_inform'!A:A, 'Cust_inform'!D:D)</f>
        <v>3</v>
      </c>
      <c r="F431" t="str">
        <f>_xlfn.XLOOKUP(E431,Postcodes!A:A, Postcodes!B:B, "NOT FOUND")</f>
        <v>E</v>
      </c>
    </row>
    <row r="432" spans="1:6" x14ac:dyDescent="0.25">
      <c r="A432" s="1">
        <v>41752</v>
      </c>
      <c r="B432">
        <v>13</v>
      </c>
      <c r="C432">
        <v>355</v>
      </c>
      <c r="D432" t="str">
        <f>_xlfn.XLOOKUP(B432, 'Cust_inform'!A:A, 'Cust_inform'!E:E, "NOT FOUND")</f>
        <v>UNEMPLOYED</v>
      </c>
      <c r="E432">
        <f>_xlfn.XLOOKUP(B432, 'Cust_inform'!A:A, 'Cust_inform'!D:D)</f>
        <v>3</v>
      </c>
      <c r="F432" t="str">
        <f>_xlfn.XLOOKUP(E432,Postcodes!A:A, Postcodes!B:B, "NOT FOUND")</f>
        <v>E</v>
      </c>
    </row>
    <row r="433" spans="1:6" x14ac:dyDescent="0.25">
      <c r="A433" s="1">
        <v>41761</v>
      </c>
      <c r="B433">
        <v>13</v>
      </c>
      <c r="C433">
        <v>338</v>
      </c>
      <c r="D433" t="str">
        <f>_xlfn.XLOOKUP(B433, 'Cust_inform'!A:A, 'Cust_inform'!E:E, "NOT FOUND")</f>
        <v>UNEMPLOYED</v>
      </c>
      <c r="E433">
        <f>_xlfn.XLOOKUP(B433, 'Cust_inform'!A:A, 'Cust_inform'!D:D)</f>
        <v>3</v>
      </c>
      <c r="F433" t="str">
        <f>_xlfn.XLOOKUP(E433,Postcodes!A:A, Postcodes!B:B, "NOT FOUND")</f>
        <v>E</v>
      </c>
    </row>
    <row r="434" spans="1:6" x14ac:dyDescent="0.25">
      <c r="A434" s="1">
        <v>41781</v>
      </c>
      <c r="B434">
        <v>13</v>
      </c>
      <c r="C434">
        <v>313</v>
      </c>
      <c r="D434" t="str">
        <f>_xlfn.XLOOKUP(B434, 'Cust_inform'!A:A, 'Cust_inform'!E:E, "NOT FOUND")</f>
        <v>UNEMPLOYED</v>
      </c>
      <c r="E434">
        <f>_xlfn.XLOOKUP(B434, 'Cust_inform'!A:A, 'Cust_inform'!D:D)</f>
        <v>3</v>
      </c>
      <c r="F434" t="str">
        <f>_xlfn.XLOOKUP(E434,Postcodes!A:A, Postcodes!B:B, "NOT FOUND")</f>
        <v>E</v>
      </c>
    </row>
    <row r="435" spans="1:6" x14ac:dyDescent="0.25">
      <c r="A435" s="1">
        <v>41635</v>
      </c>
      <c r="B435">
        <v>14</v>
      </c>
      <c r="C435">
        <v>349</v>
      </c>
      <c r="D435" t="str">
        <f>_xlfn.XLOOKUP(B435, 'Cust_inform'!A:A, 'Cust_inform'!E:E, "NOT FOUND")</f>
        <v>UNEMPLOYED</v>
      </c>
      <c r="E435">
        <f>_xlfn.XLOOKUP(B435, 'Cust_inform'!A:A, 'Cust_inform'!D:D)</f>
        <v>4</v>
      </c>
      <c r="F435" t="str">
        <f>_xlfn.XLOOKUP(E435,Postcodes!A:A, Postcodes!B:B, "NOT FOUND")</f>
        <v>E</v>
      </c>
    </row>
    <row r="436" spans="1:6" x14ac:dyDescent="0.25">
      <c r="A436" s="1">
        <v>41651</v>
      </c>
      <c r="B436">
        <v>14</v>
      </c>
      <c r="C436">
        <v>354</v>
      </c>
      <c r="D436" t="str">
        <f>_xlfn.XLOOKUP(B436, 'Cust_inform'!A:A, 'Cust_inform'!E:E, "NOT FOUND")</f>
        <v>UNEMPLOYED</v>
      </c>
      <c r="E436">
        <f>_xlfn.XLOOKUP(B436, 'Cust_inform'!A:A, 'Cust_inform'!D:D)</f>
        <v>4</v>
      </c>
      <c r="F436" t="str">
        <f>_xlfn.XLOOKUP(E436,Postcodes!A:A, Postcodes!B:B, "NOT FOUND")</f>
        <v>E</v>
      </c>
    </row>
    <row r="437" spans="1:6" x14ac:dyDescent="0.25">
      <c r="A437" s="1">
        <v>41672</v>
      </c>
      <c r="B437">
        <v>14</v>
      </c>
      <c r="C437">
        <v>360</v>
      </c>
      <c r="D437" t="str">
        <f>_xlfn.XLOOKUP(B437, 'Cust_inform'!A:A, 'Cust_inform'!E:E, "NOT FOUND")</f>
        <v>UNEMPLOYED</v>
      </c>
      <c r="E437">
        <f>_xlfn.XLOOKUP(B437, 'Cust_inform'!A:A, 'Cust_inform'!D:D)</f>
        <v>4</v>
      </c>
      <c r="F437" t="str">
        <f>_xlfn.XLOOKUP(E437,Postcodes!A:A, Postcodes!B:B, "NOT FOUND")</f>
        <v>E</v>
      </c>
    </row>
    <row r="438" spans="1:6" x14ac:dyDescent="0.25">
      <c r="A438" s="1">
        <v>41689</v>
      </c>
      <c r="B438">
        <v>14</v>
      </c>
      <c r="C438">
        <v>379</v>
      </c>
      <c r="D438" t="str">
        <f>_xlfn.XLOOKUP(B438, 'Cust_inform'!A:A, 'Cust_inform'!E:E, "NOT FOUND")</f>
        <v>UNEMPLOYED</v>
      </c>
      <c r="E438">
        <f>_xlfn.XLOOKUP(B438, 'Cust_inform'!A:A, 'Cust_inform'!D:D)</f>
        <v>4</v>
      </c>
      <c r="F438" t="str">
        <f>_xlfn.XLOOKUP(E438,Postcodes!A:A, Postcodes!B:B, "NOT FOUND")</f>
        <v>E</v>
      </c>
    </row>
    <row r="439" spans="1:6" x14ac:dyDescent="0.25">
      <c r="A439" s="1">
        <v>41693</v>
      </c>
      <c r="B439">
        <v>14</v>
      </c>
      <c r="C439">
        <v>362</v>
      </c>
      <c r="D439" t="str">
        <f>_xlfn.XLOOKUP(B439, 'Cust_inform'!A:A, 'Cust_inform'!E:E, "NOT FOUND")</f>
        <v>UNEMPLOYED</v>
      </c>
      <c r="E439">
        <f>_xlfn.XLOOKUP(B439, 'Cust_inform'!A:A, 'Cust_inform'!D:D)</f>
        <v>4</v>
      </c>
      <c r="F439" t="str">
        <f>_xlfn.XLOOKUP(E439,Postcodes!A:A, Postcodes!B:B, "NOT FOUND")</f>
        <v>E</v>
      </c>
    </row>
    <row r="440" spans="1:6" x14ac:dyDescent="0.25">
      <c r="A440" s="1">
        <v>41707</v>
      </c>
      <c r="B440">
        <v>14</v>
      </c>
      <c r="C440">
        <v>324</v>
      </c>
      <c r="D440" t="str">
        <f>_xlfn.XLOOKUP(B440, 'Cust_inform'!A:A, 'Cust_inform'!E:E, "NOT FOUND")</f>
        <v>UNEMPLOYED</v>
      </c>
      <c r="E440">
        <f>_xlfn.XLOOKUP(B440, 'Cust_inform'!A:A, 'Cust_inform'!D:D)</f>
        <v>4</v>
      </c>
      <c r="F440" t="str">
        <f>_xlfn.XLOOKUP(E440,Postcodes!A:A, Postcodes!B:B, "NOT FOUND")</f>
        <v>E</v>
      </c>
    </row>
    <row r="441" spans="1:6" x14ac:dyDescent="0.25">
      <c r="A441" s="1">
        <v>41709</v>
      </c>
      <c r="B441">
        <v>14</v>
      </c>
      <c r="C441">
        <v>343</v>
      </c>
      <c r="D441" t="str">
        <f>_xlfn.XLOOKUP(B441, 'Cust_inform'!A:A, 'Cust_inform'!E:E, "NOT FOUND")</f>
        <v>UNEMPLOYED</v>
      </c>
      <c r="E441">
        <f>_xlfn.XLOOKUP(B441, 'Cust_inform'!A:A, 'Cust_inform'!D:D)</f>
        <v>4</v>
      </c>
      <c r="F441" t="str">
        <f>_xlfn.XLOOKUP(E441,Postcodes!A:A, Postcodes!B:B, "NOT FOUND")</f>
        <v>E</v>
      </c>
    </row>
    <row r="442" spans="1:6" x14ac:dyDescent="0.25">
      <c r="A442" s="1">
        <v>41709</v>
      </c>
      <c r="B442">
        <v>14</v>
      </c>
      <c r="C442">
        <v>325</v>
      </c>
      <c r="D442" t="str">
        <f>_xlfn.XLOOKUP(B442, 'Cust_inform'!A:A, 'Cust_inform'!E:E, "NOT FOUND")</f>
        <v>UNEMPLOYED</v>
      </c>
      <c r="E442">
        <f>_xlfn.XLOOKUP(B442, 'Cust_inform'!A:A, 'Cust_inform'!D:D)</f>
        <v>4</v>
      </c>
      <c r="F442" t="str">
        <f>_xlfn.XLOOKUP(E442,Postcodes!A:A, Postcodes!B:B, "NOT FOUND")</f>
        <v>E</v>
      </c>
    </row>
    <row r="443" spans="1:6" x14ac:dyDescent="0.25">
      <c r="A443" s="1">
        <v>41710</v>
      </c>
      <c r="B443">
        <v>14</v>
      </c>
      <c r="C443">
        <v>394</v>
      </c>
      <c r="D443" t="str">
        <f>_xlfn.XLOOKUP(B443, 'Cust_inform'!A:A, 'Cust_inform'!E:E, "NOT FOUND")</f>
        <v>UNEMPLOYED</v>
      </c>
      <c r="E443">
        <f>_xlfn.XLOOKUP(B443, 'Cust_inform'!A:A, 'Cust_inform'!D:D)</f>
        <v>4</v>
      </c>
      <c r="F443" t="str">
        <f>_xlfn.XLOOKUP(E443,Postcodes!A:A, Postcodes!B:B, "NOT FOUND")</f>
        <v>E</v>
      </c>
    </row>
    <row r="444" spans="1:6" x14ac:dyDescent="0.25">
      <c r="A444" s="1">
        <v>41710</v>
      </c>
      <c r="B444">
        <v>14</v>
      </c>
      <c r="C444">
        <v>361</v>
      </c>
      <c r="D444" t="str">
        <f>_xlfn.XLOOKUP(B444, 'Cust_inform'!A:A, 'Cust_inform'!E:E, "NOT FOUND")</f>
        <v>UNEMPLOYED</v>
      </c>
      <c r="E444">
        <f>_xlfn.XLOOKUP(B444, 'Cust_inform'!A:A, 'Cust_inform'!D:D)</f>
        <v>4</v>
      </c>
      <c r="F444" t="str">
        <f>_xlfn.XLOOKUP(E444,Postcodes!A:A, Postcodes!B:B, "NOT FOUND")</f>
        <v>E</v>
      </c>
    </row>
    <row r="445" spans="1:6" x14ac:dyDescent="0.25">
      <c r="A445" s="1">
        <v>41713</v>
      </c>
      <c r="B445">
        <v>14</v>
      </c>
      <c r="C445">
        <v>390</v>
      </c>
      <c r="D445" t="str">
        <f>_xlfn.XLOOKUP(B445, 'Cust_inform'!A:A, 'Cust_inform'!E:E, "NOT FOUND")</f>
        <v>UNEMPLOYED</v>
      </c>
      <c r="E445">
        <f>_xlfn.XLOOKUP(B445, 'Cust_inform'!A:A, 'Cust_inform'!D:D)</f>
        <v>4</v>
      </c>
      <c r="F445" t="str">
        <f>_xlfn.XLOOKUP(E445,Postcodes!A:A, Postcodes!B:B, "NOT FOUND")</f>
        <v>E</v>
      </c>
    </row>
    <row r="446" spans="1:6" x14ac:dyDescent="0.25">
      <c r="A446" s="1">
        <v>41730</v>
      </c>
      <c r="B446">
        <v>14</v>
      </c>
      <c r="C446">
        <v>345</v>
      </c>
      <c r="D446" t="str">
        <f>_xlfn.XLOOKUP(B446, 'Cust_inform'!A:A, 'Cust_inform'!E:E, "NOT FOUND")</f>
        <v>UNEMPLOYED</v>
      </c>
      <c r="E446">
        <f>_xlfn.XLOOKUP(B446, 'Cust_inform'!A:A, 'Cust_inform'!D:D)</f>
        <v>4</v>
      </c>
      <c r="F446" t="str">
        <f>_xlfn.XLOOKUP(E446,Postcodes!A:A, Postcodes!B:B, "NOT FOUND")</f>
        <v>E</v>
      </c>
    </row>
    <row r="447" spans="1:6" x14ac:dyDescent="0.25">
      <c r="A447" s="1">
        <v>41734</v>
      </c>
      <c r="B447">
        <v>14</v>
      </c>
      <c r="C447">
        <v>318</v>
      </c>
      <c r="D447" t="str">
        <f>_xlfn.XLOOKUP(B447, 'Cust_inform'!A:A, 'Cust_inform'!E:E, "NOT FOUND")</f>
        <v>UNEMPLOYED</v>
      </c>
      <c r="E447">
        <f>_xlfn.XLOOKUP(B447, 'Cust_inform'!A:A, 'Cust_inform'!D:D)</f>
        <v>4</v>
      </c>
      <c r="F447" t="str">
        <f>_xlfn.XLOOKUP(E447,Postcodes!A:A, Postcodes!B:B, "NOT FOUND")</f>
        <v>E</v>
      </c>
    </row>
    <row r="448" spans="1:6" x14ac:dyDescent="0.25">
      <c r="A448" s="1">
        <v>41734</v>
      </c>
      <c r="B448">
        <v>14</v>
      </c>
      <c r="C448">
        <v>394</v>
      </c>
      <c r="D448" t="str">
        <f>_xlfn.XLOOKUP(B448, 'Cust_inform'!A:A, 'Cust_inform'!E:E, "NOT FOUND")</f>
        <v>UNEMPLOYED</v>
      </c>
      <c r="E448">
        <f>_xlfn.XLOOKUP(B448, 'Cust_inform'!A:A, 'Cust_inform'!D:D)</f>
        <v>4</v>
      </c>
      <c r="F448" t="str">
        <f>_xlfn.XLOOKUP(E448,Postcodes!A:A, Postcodes!B:B, "NOT FOUND")</f>
        <v>E</v>
      </c>
    </row>
    <row r="449" spans="1:6" x14ac:dyDescent="0.25">
      <c r="A449" s="1">
        <v>41746</v>
      </c>
      <c r="B449">
        <v>14</v>
      </c>
      <c r="C449">
        <v>381</v>
      </c>
      <c r="D449" t="str">
        <f>_xlfn.XLOOKUP(B449, 'Cust_inform'!A:A, 'Cust_inform'!E:E, "NOT FOUND")</f>
        <v>UNEMPLOYED</v>
      </c>
      <c r="E449">
        <f>_xlfn.XLOOKUP(B449, 'Cust_inform'!A:A, 'Cust_inform'!D:D)</f>
        <v>4</v>
      </c>
      <c r="F449" t="str">
        <f>_xlfn.XLOOKUP(E449,Postcodes!A:A, Postcodes!B:B, "NOT FOUND")</f>
        <v>E</v>
      </c>
    </row>
    <row r="450" spans="1:6" x14ac:dyDescent="0.25">
      <c r="A450" s="1">
        <v>41759</v>
      </c>
      <c r="B450">
        <v>14</v>
      </c>
      <c r="C450">
        <v>362</v>
      </c>
      <c r="D450" t="str">
        <f>_xlfn.XLOOKUP(B450, 'Cust_inform'!A:A, 'Cust_inform'!E:E, "NOT FOUND")</f>
        <v>UNEMPLOYED</v>
      </c>
      <c r="E450">
        <f>_xlfn.XLOOKUP(B450, 'Cust_inform'!A:A, 'Cust_inform'!D:D)</f>
        <v>4</v>
      </c>
      <c r="F450" t="str">
        <f>_xlfn.XLOOKUP(E450,Postcodes!A:A, Postcodes!B:B, "NOT FOUND")</f>
        <v>E</v>
      </c>
    </row>
    <row r="451" spans="1:6" x14ac:dyDescent="0.25">
      <c r="A451" s="1">
        <v>41765</v>
      </c>
      <c r="B451">
        <v>14</v>
      </c>
      <c r="C451">
        <v>329</v>
      </c>
      <c r="D451" t="str">
        <f>_xlfn.XLOOKUP(B451, 'Cust_inform'!A:A, 'Cust_inform'!E:E, "NOT FOUND")</f>
        <v>UNEMPLOYED</v>
      </c>
      <c r="E451">
        <f>_xlfn.XLOOKUP(B451, 'Cust_inform'!A:A, 'Cust_inform'!D:D)</f>
        <v>4</v>
      </c>
      <c r="F451" t="str">
        <f>_xlfn.XLOOKUP(E451,Postcodes!A:A, Postcodes!B:B, "NOT FOUND")</f>
        <v>E</v>
      </c>
    </row>
    <row r="452" spans="1:6" x14ac:dyDescent="0.25">
      <c r="A452" s="1">
        <v>41770</v>
      </c>
      <c r="B452">
        <v>14</v>
      </c>
      <c r="C452">
        <v>318</v>
      </c>
      <c r="D452" t="str">
        <f>_xlfn.XLOOKUP(B452, 'Cust_inform'!A:A, 'Cust_inform'!E:E, "NOT FOUND")</f>
        <v>UNEMPLOYED</v>
      </c>
      <c r="E452">
        <f>_xlfn.XLOOKUP(B452, 'Cust_inform'!A:A, 'Cust_inform'!D:D)</f>
        <v>4</v>
      </c>
      <c r="F452" t="str">
        <f>_xlfn.XLOOKUP(E452,Postcodes!A:A, Postcodes!B:B, "NOT FOUND")</f>
        <v>E</v>
      </c>
    </row>
    <row r="453" spans="1:6" x14ac:dyDescent="0.25">
      <c r="A453" s="1">
        <v>41783</v>
      </c>
      <c r="B453">
        <v>14</v>
      </c>
      <c r="C453">
        <v>347</v>
      </c>
      <c r="D453" t="str">
        <f>_xlfn.XLOOKUP(B453, 'Cust_inform'!A:A, 'Cust_inform'!E:E, "NOT FOUND")</f>
        <v>UNEMPLOYED</v>
      </c>
      <c r="E453">
        <f>_xlfn.XLOOKUP(B453, 'Cust_inform'!A:A, 'Cust_inform'!D:D)</f>
        <v>4</v>
      </c>
      <c r="F453" t="str">
        <f>_xlfn.XLOOKUP(E453,Postcodes!A:A, Postcodes!B:B, "NOT FOUND")</f>
        <v>E</v>
      </c>
    </row>
    <row r="454" spans="1:6" x14ac:dyDescent="0.25">
      <c r="A454" s="1">
        <v>41815</v>
      </c>
      <c r="B454">
        <v>14</v>
      </c>
      <c r="C454">
        <v>366</v>
      </c>
      <c r="D454" t="str">
        <f>_xlfn.XLOOKUP(B454, 'Cust_inform'!A:A, 'Cust_inform'!E:E, "NOT FOUND")</f>
        <v>UNEMPLOYED</v>
      </c>
      <c r="E454">
        <f>_xlfn.XLOOKUP(B454, 'Cust_inform'!A:A, 'Cust_inform'!D:D)</f>
        <v>4</v>
      </c>
      <c r="F454" t="str">
        <f>_xlfn.XLOOKUP(E454,Postcodes!A:A, Postcodes!B:B, "NOT FOUND")</f>
        <v>E</v>
      </c>
    </row>
    <row r="455" spans="1:6" x14ac:dyDescent="0.25">
      <c r="A455" s="1">
        <v>41622</v>
      </c>
      <c r="B455">
        <v>15</v>
      </c>
      <c r="C455">
        <v>424</v>
      </c>
      <c r="D455" t="str">
        <f>_xlfn.XLOOKUP(B455, 'Cust_inform'!A:A, 'Cust_inform'!E:E, "NOT FOUND")</f>
        <v>UNEMPLOYED</v>
      </c>
      <c r="E455">
        <f>_xlfn.XLOOKUP(B455, 'Cust_inform'!A:A, 'Cust_inform'!D:D)</f>
        <v>13</v>
      </c>
      <c r="F455" t="str">
        <f>_xlfn.XLOOKUP(E455,Postcodes!A:A, Postcodes!B:B, "NOT FOUND")</f>
        <v>W</v>
      </c>
    </row>
    <row r="456" spans="1:6" x14ac:dyDescent="0.25">
      <c r="A456" s="1">
        <v>41625</v>
      </c>
      <c r="B456">
        <v>15</v>
      </c>
      <c r="C456">
        <v>482</v>
      </c>
      <c r="D456" t="str">
        <f>_xlfn.XLOOKUP(B456, 'Cust_inform'!A:A, 'Cust_inform'!E:E, "NOT FOUND")</f>
        <v>UNEMPLOYED</v>
      </c>
      <c r="E456">
        <f>_xlfn.XLOOKUP(B456, 'Cust_inform'!A:A, 'Cust_inform'!D:D)</f>
        <v>13</v>
      </c>
      <c r="F456" t="str">
        <f>_xlfn.XLOOKUP(E456,Postcodes!A:A, Postcodes!B:B, "NOT FOUND")</f>
        <v>W</v>
      </c>
    </row>
    <row r="457" spans="1:6" x14ac:dyDescent="0.25">
      <c r="A457" s="1">
        <v>41625</v>
      </c>
      <c r="B457">
        <v>15</v>
      </c>
      <c r="C457">
        <v>495</v>
      </c>
      <c r="D457" t="str">
        <f>_xlfn.XLOOKUP(B457, 'Cust_inform'!A:A, 'Cust_inform'!E:E, "NOT FOUND")</f>
        <v>UNEMPLOYED</v>
      </c>
      <c r="E457">
        <f>_xlfn.XLOOKUP(B457, 'Cust_inform'!A:A, 'Cust_inform'!D:D)</f>
        <v>13</v>
      </c>
      <c r="F457" t="str">
        <f>_xlfn.XLOOKUP(E457,Postcodes!A:A, Postcodes!B:B, "NOT FOUND")</f>
        <v>W</v>
      </c>
    </row>
    <row r="458" spans="1:6" x14ac:dyDescent="0.25">
      <c r="A458" s="1">
        <v>41652</v>
      </c>
      <c r="B458">
        <v>15</v>
      </c>
      <c r="C458">
        <v>429</v>
      </c>
      <c r="D458" t="str">
        <f>_xlfn.XLOOKUP(B458, 'Cust_inform'!A:A, 'Cust_inform'!E:E, "NOT FOUND")</f>
        <v>UNEMPLOYED</v>
      </c>
      <c r="E458">
        <f>_xlfn.XLOOKUP(B458, 'Cust_inform'!A:A, 'Cust_inform'!D:D)</f>
        <v>13</v>
      </c>
      <c r="F458" t="str">
        <f>_xlfn.XLOOKUP(E458,Postcodes!A:A, Postcodes!B:B, "NOT FOUND")</f>
        <v>W</v>
      </c>
    </row>
    <row r="459" spans="1:6" x14ac:dyDescent="0.25">
      <c r="A459" s="1">
        <v>41652</v>
      </c>
      <c r="B459">
        <v>15</v>
      </c>
      <c r="C459">
        <v>452</v>
      </c>
      <c r="D459" t="str">
        <f>_xlfn.XLOOKUP(B459, 'Cust_inform'!A:A, 'Cust_inform'!E:E, "NOT FOUND")</f>
        <v>UNEMPLOYED</v>
      </c>
      <c r="E459">
        <f>_xlfn.XLOOKUP(B459, 'Cust_inform'!A:A, 'Cust_inform'!D:D)</f>
        <v>13</v>
      </c>
      <c r="F459" t="str">
        <f>_xlfn.XLOOKUP(E459,Postcodes!A:A, Postcodes!B:B, "NOT FOUND")</f>
        <v>W</v>
      </c>
    </row>
    <row r="460" spans="1:6" x14ac:dyDescent="0.25">
      <c r="A460" s="1">
        <v>41655</v>
      </c>
      <c r="B460">
        <v>15</v>
      </c>
      <c r="C460">
        <v>404</v>
      </c>
      <c r="D460" t="str">
        <f>_xlfn.XLOOKUP(B460, 'Cust_inform'!A:A, 'Cust_inform'!E:E, "NOT FOUND")</f>
        <v>UNEMPLOYED</v>
      </c>
      <c r="E460">
        <f>_xlfn.XLOOKUP(B460, 'Cust_inform'!A:A, 'Cust_inform'!D:D)</f>
        <v>13</v>
      </c>
      <c r="F460" t="str">
        <f>_xlfn.XLOOKUP(E460,Postcodes!A:A, Postcodes!B:B, "NOT FOUND")</f>
        <v>W</v>
      </c>
    </row>
    <row r="461" spans="1:6" x14ac:dyDescent="0.25">
      <c r="A461" s="1">
        <v>41658</v>
      </c>
      <c r="B461">
        <v>15</v>
      </c>
      <c r="C461">
        <v>535</v>
      </c>
      <c r="D461" t="str">
        <f>_xlfn.XLOOKUP(B461, 'Cust_inform'!A:A, 'Cust_inform'!E:E, "NOT FOUND")</f>
        <v>UNEMPLOYED</v>
      </c>
      <c r="E461">
        <f>_xlfn.XLOOKUP(B461, 'Cust_inform'!A:A, 'Cust_inform'!D:D)</f>
        <v>13</v>
      </c>
      <c r="F461" t="str">
        <f>_xlfn.XLOOKUP(E461,Postcodes!A:A, Postcodes!B:B, "NOT FOUND")</f>
        <v>W</v>
      </c>
    </row>
    <row r="462" spans="1:6" x14ac:dyDescent="0.25">
      <c r="A462" s="1">
        <v>41661</v>
      </c>
      <c r="B462">
        <v>15</v>
      </c>
      <c r="C462">
        <v>448</v>
      </c>
      <c r="D462" t="str">
        <f>_xlfn.XLOOKUP(B462, 'Cust_inform'!A:A, 'Cust_inform'!E:E, "NOT FOUND")</f>
        <v>UNEMPLOYED</v>
      </c>
      <c r="E462">
        <f>_xlfn.XLOOKUP(B462, 'Cust_inform'!A:A, 'Cust_inform'!D:D)</f>
        <v>13</v>
      </c>
      <c r="F462" t="str">
        <f>_xlfn.XLOOKUP(E462,Postcodes!A:A, Postcodes!B:B, "NOT FOUND")</f>
        <v>W</v>
      </c>
    </row>
    <row r="463" spans="1:6" x14ac:dyDescent="0.25">
      <c r="A463" s="1">
        <v>41669</v>
      </c>
      <c r="B463">
        <v>15</v>
      </c>
      <c r="C463">
        <v>429</v>
      </c>
      <c r="D463" t="str">
        <f>_xlfn.XLOOKUP(B463, 'Cust_inform'!A:A, 'Cust_inform'!E:E, "NOT FOUND")</f>
        <v>UNEMPLOYED</v>
      </c>
      <c r="E463">
        <f>_xlfn.XLOOKUP(B463, 'Cust_inform'!A:A, 'Cust_inform'!D:D)</f>
        <v>13</v>
      </c>
      <c r="F463" t="str">
        <f>_xlfn.XLOOKUP(E463,Postcodes!A:A, Postcodes!B:B, "NOT FOUND")</f>
        <v>W</v>
      </c>
    </row>
    <row r="464" spans="1:6" x14ac:dyDescent="0.25">
      <c r="A464" s="1">
        <v>41670</v>
      </c>
      <c r="B464">
        <v>15</v>
      </c>
      <c r="C464">
        <v>480</v>
      </c>
      <c r="D464" t="str">
        <f>_xlfn.XLOOKUP(B464, 'Cust_inform'!A:A, 'Cust_inform'!E:E, "NOT FOUND")</f>
        <v>UNEMPLOYED</v>
      </c>
      <c r="E464">
        <f>_xlfn.XLOOKUP(B464, 'Cust_inform'!A:A, 'Cust_inform'!D:D)</f>
        <v>13</v>
      </c>
      <c r="F464" t="str">
        <f>_xlfn.XLOOKUP(E464,Postcodes!A:A, Postcodes!B:B, "NOT FOUND")</f>
        <v>W</v>
      </c>
    </row>
    <row r="465" spans="1:6" x14ac:dyDescent="0.25">
      <c r="A465" s="1">
        <v>41682</v>
      </c>
      <c r="B465">
        <v>15</v>
      </c>
      <c r="C465">
        <v>430</v>
      </c>
      <c r="D465" t="str">
        <f>_xlfn.XLOOKUP(B465, 'Cust_inform'!A:A, 'Cust_inform'!E:E, "NOT FOUND")</f>
        <v>UNEMPLOYED</v>
      </c>
      <c r="E465">
        <f>_xlfn.XLOOKUP(B465, 'Cust_inform'!A:A, 'Cust_inform'!D:D)</f>
        <v>13</v>
      </c>
      <c r="F465" t="str">
        <f>_xlfn.XLOOKUP(E465,Postcodes!A:A, Postcodes!B:B, "NOT FOUND")</f>
        <v>W</v>
      </c>
    </row>
    <row r="466" spans="1:6" x14ac:dyDescent="0.25">
      <c r="A466" s="1">
        <v>41683</v>
      </c>
      <c r="B466">
        <v>15</v>
      </c>
      <c r="C466">
        <v>407</v>
      </c>
      <c r="D466" t="str">
        <f>_xlfn.XLOOKUP(B466, 'Cust_inform'!A:A, 'Cust_inform'!E:E, "NOT FOUND")</f>
        <v>UNEMPLOYED</v>
      </c>
      <c r="E466">
        <f>_xlfn.XLOOKUP(B466, 'Cust_inform'!A:A, 'Cust_inform'!D:D)</f>
        <v>13</v>
      </c>
      <c r="F466" t="str">
        <f>_xlfn.XLOOKUP(E466,Postcodes!A:A, Postcodes!B:B, "NOT FOUND")</f>
        <v>W</v>
      </c>
    </row>
    <row r="467" spans="1:6" x14ac:dyDescent="0.25">
      <c r="A467" s="1">
        <v>41684</v>
      </c>
      <c r="B467">
        <v>15</v>
      </c>
      <c r="C467">
        <v>515</v>
      </c>
      <c r="D467" t="str">
        <f>_xlfn.XLOOKUP(B467, 'Cust_inform'!A:A, 'Cust_inform'!E:E, "NOT FOUND")</f>
        <v>UNEMPLOYED</v>
      </c>
      <c r="E467">
        <f>_xlfn.XLOOKUP(B467, 'Cust_inform'!A:A, 'Cust_inform'!D:D)</f>
        <v>13</v>
      </c>
      <c r="F467" t="str">
        <f>_xlfn.XLOOKUP(E467,Postcodes!A:A, Postcodes!B:B, "NOT FOUND")</f>
        <v>W</v>
      </c>
    </row>
    <row r="468" spans="1:6" x14ac:dyDescent="0.25">
      <c r="A468" s="1">
        <v>41685</v>
      </c>
      <c r="B468">
        <v>15</v>
      </c>
      <c r="C468">
        <v>422</v>
      </c>
      <c r="D468" t="str">
        <f>_xlfn.XLOOKUP(B468, 'Cust_inform'!A:A, 'Cust_inform'!E:E, "NOT FOUND")</f>
        <v>UNEMPLOYED</v>
      </c>
      <c r="E468">
        <f>_xlfn.XLOOKUP(B468, 'Cust_inform'!A:A, 'Cust_inform'!D:D)</f>
        <v>13</v>
      </c>
      <c r="F468" t="str">
        <f>_xlfn.XLOOKUP(E468,Postcodes!A:A, Postcodes!B:B, "NOT FOUND")</f>
        <v>W</v>
      </c>
    </row>
    <row r="469" spans="1:6" x14ac:dyDescent="0.25">
      <c r="A469" s="1">
        <v>41692</v>
      </c>
      <c r="B469">
        <v>15</v>
      </c>
      <c r="C469">
        <v>451</v>
      </c>
      <c r="D469" t="str">
        <f>_xlfn.XLOOKUP(B469, 'Cust_inform'!A:A, 'Cust_inform'!E:E, "NOT FOUND")</f>
        <v>UNEMPLOYED</v>
      </c>
      <c r="E469">
        <f>_xlfn.XLOOKUP(B469, 'Cust_inform'!A:A, 'Cust_inform'!D:D)</f>
        <v>13</v>
      </c>
      <c r="F469" t="str">
        <f>_xlfn.XLOOKUP(E469,Postcodes!A:A, Postcodes!B:B, "NOT FOUND")</f>
        <v>W</v>
      </c>
    </row>
    <row r="470" spans="1:6" x14ac:dyDescent="0.25">
      <c r="A470" s="1">
        <v>41696</v>
      </c>
      <c r="B470">
        <v>15</v>
      </c>
      <c r="C470">
        <v>469</v>
      </c>
      <c r="D470" t="str">
        <f>_xlfn.XLOOKUP(B470, 'Cust_inform'!A:A, 'Cust_inform'!E:E, "NOT FOUND")</f>
        <v>UNEMPLOYED</v>
      </c>
      <c r="E470">
        <f>_xlfn.XLOOKUP(B470, 'Cust_inform'!A:A, 'Cust_inform'!D:D)</f>
        <v>13</v>
      </c>
      <c r="F470" t="str">
        <f>_xlfn.XLOOKUP(E470,Postcodes!A:A, Postcodes!B:B, "NOT FOUND")</f>
        <v>W</v>
      </c>
    </row>
    <row r="471" spans="1:6" x14ac:dyDescent="0.25">
      <c r="A471" s="1">
        <v>41703</v>
      </c>
      <c r="B471">
        <v>15</v>
      </c>
      <c r="C471">
        <v>485</v>
      </c>
      <c r="D471" t="str">
        <f>_xlfn.XLOOKUP(B471, 'Cust_inform'!A:A, 'Cust_inform'!E:E, "NOT FOUND")</f>
        <v>UNEMPLOYED</v>
      </c>
      <c r="E471">
        <f>_xlfn.XLOOKUP(B471, 'Cust_inform'!A:A, 'Cust_inform'!D:D)</f>
        <v>13</v>
      </c>
      <c r="F471" t="str">
        <f>_xlfn.XLOOKUP(E471,Postcodes!A:A, Postcodes!B:B, "NOT FOUND")</f>
        <v>W</v>
      </c>
    </row>
    <row r="472" spans="1:6" x14ac:dyDescent="0.25">
      <c r="A472" s="1">
        <v>41712</v>
      </c>
      <c r="B472">
        <v>15</v>
      </c>
      <c r="C472">
        <v>500</v>
      </c>
      <c r="D472" t="str">
        <f>_xlfn.XLOOKUP(B472, 'Cust_inform'!A:A, 'Cust_inform'!E:E, "NOT FOUND")</f>
        <v>UNEMPLOYED</v>
      </c>
      <c r="E472">
        <f>_xlfn.XLOOKUP(B472, 'Cust_inform'!A:A, 'Cust_inform'!D:D)</f>
        <v>13</v>
      </c>
      <c r="F472" t="str">
        <f>_xlfn.XLOOKUP(E472,Postcodes!A:A, Postcodes!B:B, "NOT FOUND")</f>
        <v>W</v>
      </c>
    </row>
    <row r="473" spans="1:6" x14ac:dyDescent="0.25">
      <c r="A473" s="1">
        <v>41716</v>
      </c>
      <c r="B473">
        <v>15</v>
      </c>
      <c r="C473">
        <v>474</v>
      </c>
      <c r="D473" t="str">
        <f>_xlfn.XLOOKUP(B473, 'Cust_inform'!A:A, 'Cust_inform'!E:E, "NOT FOUND")</f>
        <v>UNEMPLOYED</v>
      </c>
      <c r="E473">
        <f>_xlfn.XLOOKUP(B473, 'Cust_inform'!A:A, 'Cust_inform'!D:D)</f>
        <v>13</v>
      </c>
      <c r="F473" t="str">
        <f>_xlfn.XLOOKUP(E473,Postcodes!A:A, Postcodes!B:B, "NOT FOUND")</f>
        <v>W</v>
      </c>
    </row>
    <row r="474" spans="1:6" x14ac:dyDescent="0.25">
      <c r="A474" s="1">
        <v>41725</v>
      </c>
      <c r="B474">
        <v>15</v>
      </c>
      <c r="C474">
        <v>417</v>
      </c>
      <c r="D474" t="str">
        <f>_xlfn.XLOOKUP(B474, 'Cust_inform'!A:A, 'Cust_inform'!E:E, "NOT FOUND")</f>
        <v>UNEMPLOYED</v>
      </c>
      <c r="E474">
        <f>_xlfn.XLOOKUP(B474, 'Cust_inform'!A:A, 'Cust_inform'!D:D)</f>
        <v>13</v>
      </c>
      <c r="F474" t="str">
        <f>_xlfn.XLOOKUP(E474,Postcodes!A:A, Postcodes!B:B, "NOT FOUND")</f>
        <v>W</v>
      </c>
    </row>
    <row r="475" spans="1:6" x14ac:dyDescent="0.25">
      <c r="A475" s="1">
        <v>41726</v>
      </c>
      <c r="B475">
        <v>15</v>
      </c>
      <c r="C475">
        <v>468</v>
      </c>
      <c r="D475" t="str">
        <f>_xlfn.XLOOKUP(B475, 'Cust_inform'!A:A, 'Cust_inform'!E:E, "NOT FOUND")</f>
        <v>UNEMPLOYED</v>
      </c>
      <c r="E475">
        <f>_xlfn.XLOOKUP(B475, 'Cust_inform'!A:A, 'Cust_inform'!D:D)</f>
        <v>13</v>
      </c>
      <c r="F475" t="str">
        <f>_xlfn.XLOOKUP(E475,Postcodes!A:A, Postcodes!B:B, "NOT FOUND")</f>
        <v>W</v>
      </c>
    </row>
    <row r="476" spans="1:6" x14ac:dyDescent="0.25">
      <c r="A476" s="1">
        <v>41726</v>
      </c>
      <c r="B476">
        <v>15</v>
      </c>
      <c r="C476">
        <v>470</v>
      </c>
      <c r="D476" t="str">
        <f>_xlfn.XLOOKUP(B476, 'Cust_inform'!A:A, 'Cust_inform'!E:E, "NOT FOUND")</f>
        <v>UNEMPLOYED</v>
      </c>
      <c r="E476">
        <f>_xlfn.XLOOKUP(B476, 'Cust_inform'!A:A, 'Cust_inform'!D:D)</f>
        <v>13</v>
      </c>
      <c r="F476" t="str">
        <f>_xlfn.XLOOKUP(E476,Postcodes!A:A, Postcodes!B:B, "NOT FOUND")</f>
        <v>W</v>
      </c>
    </row>
    <row r="477" spans="1:6" x14ac:dyDescent="0.25">
      <c r="A477" s="1">
        <v>41732</v>
      </c>
      <c r="B477">
        <v>15</v>
      </c>
      <c r="C477">
        <v>464</v>
      </c>
      <c r="D477" t="str">
        <f>_xlfn.XLOOKUP(B477, 'Cust_inform'!A:A, 'Cust_inform'!E:E, "NOT FOUND")</f>
        <v>UNEMPLOYED</v>
      </c>
      <c r="E477">
        <f>_xlfn.XLOOKUP(B477, 'Cust_inform'!A:A, 'Cust_inform'!D:D)</f>
        <v>13</v>
      </c>
      <c r="F477" t="str">
        <f>_xlfn.XLOOKUP(E477,Postcodes!A:A, Postcodes!B:B, "NOT FOUND")</f>
        <v>W</v>
      </c>
    </row>
    <row r="478" spans="1:6" x14ac:dyDescent="0.25">
      <c r="A478" s="1">
        <v>41736</v>
      </c>
      <c r="B478">
        <v>15</v>
      </c>
      <c r="C478">
        <v>488</v>
      </c>
      <c r="D478" t="str">
        <f>_xlfn.XLOOKUP(B478, 'Cust_inform'!A:A, 'Cust_inform'!E:E, "NOT FOUND")</f>
        <v>UNEMPLOYED</v>
      </c>
      <c r="E478">
        <f>_xlfn.XLOOKUP(B478, 'Cust_inform'!A:A, 'Cust_inform'!D:D)</f>
        <v>13</v>
      </c>
      <c r="F478" t="str">
        <f>_xlfn.XLOOKUP(E478,Postcodes!A:A, Postcodes!B:B, "NOT FOUND")</f>
        <v>W</v>
      </c>
    </row>
    <row r="479" spans="1:6" x14ac:dyDescent="0.25">
      <c r="A479" s="1">
        <v>41749</v>
      </c>
      <c r="B479">
        <v>15</v>
      </c>
      <c r="C479">
        <v>451</v>
      </c>
      <c r="D479" t="str">
        <f>_xlfn.XLOOKUP(B479, 'Cust_inform'!A:A, 'Cust_inform'!E:E, "NOT FOUND")</f>
        <v>UNEMPLOYED</v>
      </c>
      <c r="E479">
        <f>_xlfn.XLOOKUP(B479, 'Cust_inform'!A:A, 'Cust_inform'!D:D)</f>
        <v>13</v>
      </c>
      <c r="F479" t="str">
        <f>_xlfn.XLOOKUP(E479,Postcodes!A:A, Postcodes!B:B, "NOT FOUND")</f>
        <v>W</v>
      </c>
    </row>
    <row r="480" spans="1:6" x14ac:dyDescent="0.25">
      <c r="A480" s="1">
        <v>41751</v>
      </c>
      <c r="B480">
        <v>15</v>
      </c>
      <c r="C480">
        <v>490</v>
      </c>
      <c r="D480" t="str">
        <f>_xlfn.XLOOKUP(B480, 'Cust_inform'!A:A, 'Cust_inform'!E:E, "NOT FOUND")</f>
        <v>UNEMPLOYED</v>
      </c>
      <c r="E480">
        <f>_xlfn.XLOOKUP(B480, 'Cust_inform'!A:A, 'Cust_inform'!D:D)</f>
        <v>13</v>
      </c>
      <c r="F480" t="str">
        <f>_xlfn.XLOOKUP(E480,Postcodes!A:A, Postcodes!B:B, "NOT FOUND")</f>
        <v>W</v>
      </c>
    </row>
    <row r="481" spans="1:6" x14ac:dyDescent="0.25">
      <c r="A481" s="1">
        <v>41758</v>
      </c>
      <c r="B481">
        <v>15</v>
      </c>
      <c r="C481">
        <v>471</v>
      </c>
      <c r="D481" t="str">
        <f>_xlfn.XLOOKUP(B481, 'Cust_inform'!A:A, 'Cust_inform'!E:E, "NOT FOUND")</f>
        <v>UNEMPLOYED</v>
      </c>
      <c r="E481">
        <f>_xlfn.XLOOKUP(B481, 'Cust_inform'!A:A, 'Cust_inform'!D:D)</f>
        <v>13</v>
      </c>
      <c r="F481" t="str">
        <f>_xlfn.XLOOKUP(E481,Postcodes!A:A, Postcodes!B:B, "NOT FOUND")</f>
        <v>W</v>
      </c>
    </row>
    <row r="482" spans="1:6" x14ac:dyDescent="0.25">
      <c r="A482" s="1">
        <v>41759</v>
      </c>
      <c r="B482">
        <v>15</v>
      </c>
      <c r="C482">
        <v>440</v>
      </c>
      <c r="D482" t="str">
        <f>_xlfn.XLOOKUP(B482, 'Cust_inform'!A:A, 'Cust_inform'!E:E, "NOT FOUND")</f>
        <v>UNEMPLOYED</v>
      </c>
      <c r="E482">
        <f>_xlfn.XLOOKUP(B482, 'Cust_inform'!A:A, 'Cust_inform'!D:D)</f>
        <v>13</v>
      </c>
      <c r="F482" t="str">
        <f>_xlfn.XLOOKUP(E482,Postcodes!A:A, Postcodes!B:B, "NOT FOUND")</f>
        <v>W</v>
      </c>
    </row>
    <row r="483" spans="1:6" x14ac:dyDescent="0.25">
      <c r="A483" s="1">
        <v>41762</v>
      </c>
      <c r="B483">
        <v>15</v>
      </c>
      <c r="C483">
        <v>429</v>
      </c>
      <c r="D483" t="str">
        <f>_xlfn.XLOOKUP(B483, 'Cust_inform'!A:A, 'Cust_inform'!E:E, "NOT FOUND")</f>
        <v>UNEMPLOYED</v>
      </c>
      <c r="E483">
        <f>_xlfn.XLOOKUP(B483, 'Cust_inform'!A:A, 'Cust_inform'!D:D)</f>
        <v>13</v>
      </c>
      <c r="F483" t="str">
        <f>_xlfn.XLOOKUP(E483,Postcodes!A:A, Postcodes!B:B, "NOT FOUND")</f>
        <v>W</v>
      </c>
    </row>
    <row r="484" spans="1:6" x14ac:dyDescent="0.25">
      <c r="A484" s="1">
        <v>41771</v>
      </c>
      <c r="B484">
        <v>15</v>
      </c>
      <c r="C484">
        <v>467</v>
      </c>
      <c r="D484" t="str">
        <f>_xlfn.XLOOKUP(B484, 'Cust_inform'!A:A, 'Cust_inform'!E:E, "NOT FOUND")</f>
        <v>UNEMPLOYED</v>
      </c>
      <c r="E484">
        <f>_xlfn.XLOOKUP(B484, 'Cust_inform'!A:A, 'Cust_inform'!D:D)</f>
        <v>13</v>
      </c>
      <c r="F484" t="str">
        <f>_xlfn.XLOOKUP(E484,Postcodes!A:A, Postcodes!B:B, "NOT FOUND")</f>
        <v>W</v>
      </c>
    </row>
    <row r="485" spans="1:6" x14ac:dyDescent="0.25">
      <c r="A485" s="1">
        <v>41775</v>
      </c>
      <c r="B485">
        <v>15</v>
      </c>
      <c r="C485">
        <v>466</v>
      </c>
      <c r="D485" t="str">
        <f>_xlfn.XLOOKUP(B485, 'Cust_inform'!A:A, 'Cust_inform'!E:E, "NOT FOUND")</f>
        <v>UNEMPLOYED</v>
      </c>
      <c r="E485">
        <f>_xlfn.XLOOKUP(B485, 'Cust_inform'!A:A, 'Cust_inform'!D:D)</f>
        <v>13</v>
      </c>
      <c r="F485" t="str">
        <f>_xlfn.XLOOKUP(E485,Postcodes!A:A, Postcodes!B:B, "NOT FOUND")</f>
        <v>W</v>
      </c>
    </row>
    <row r="486" spans="1:6" x14ac:dyDescent="0.25">
      <c r="A486" s="1">
        <v>41783</v>
      </c>
      <c r="B486">
        <v>15</v>
      </c>
      <c r="C486">
        <v>453</v>
      </c>
      <c r="D486" t="str">
        <f>_xlfn.XLOOKUP(B486, 'Cust_inform'!A:A, 'Cust_inform'!E:E, "NOT FOUND")</f>
        <v>UNEMPLOYED</v>
      </c>
      <c r="E486">
        <f>_xlfn.XLOOKUP(B486, 'Cust_inform'!A:A, 'Cust_inform'!D:D)</f>
        <v>13</v>
      </c>
      <c r="F486" t="str">
        <f>_xlfn.XLOOKUP(E486,Postcodes!A:A, Postcodes!B:B, "NOT FOUND")</f>
        <v>W</v>
      </c>
    </row>
    <row r="487" spans="1:6" x14ac:dyDescent="0.25">
      <c r="A487" s="1">
        <v>41790</v>
      </c>
      <c r="B487">
        <v>15</v>
      </c>
      <c r="C487">
        <v>456</v>
      </c>
      <c r="D487" t="str">
        <f>_xlfn.XLOOKUP(B487, 'Cust_inform'!A:A, 'Cust_inform'!E:E, "NOT FOUND")</f>
        <v>UNEMPLOYED</v>
      </c>
      <c r="E487">
        <f>_xlfn.XLOOKUP(B487, 'Cust_inform'!A:A, 'Cust_inform'!D:D)</f>
        <v>13</v>
      </c>
      <c r="F487" t="str">
        <f>_xlfn.XLOOKUP(E487,Postcodes!A:A, Postcodes!B:B, "NOT FOUND")</f>
        <v>W</v>
      </c>
    </row>
    <row r="488" spans="1:6" x14ac:dyDescent="0.25">
      <c r="A488" s="1">
        <v>41793</v>
      </c>
      <c r="B488">
        <v>15</v>
      </c>
      <c r="C488">
        <v>471</v>
      </c>
      <c r="D488" t="str">
        <f>_xlfn.XLOOKUP(B488, 'Cust_inform'!A:A, 'Cust_inform'!E:E, "NOT FOUND")</f>
        <v>UNEMPLOYED</v>
      </c>
      <c r="E488">
        <f>_xlfn.XLOOKUP(B488, 'Cust_inform'!A:A, 'Cust_inform'!D:D)</f>
        <v>13</v>
      </c>
      <c r="F488" t="str">
        <f>_xlfn.XLOOKUP(E488,Postcodes!A:A, Postcodes!B:B, "NOT FOUND")</f>
        <v>W</v>
      </c>
    </row>
    <row r="489" spans="1:6" x14ac:dyDescent="0.25">
      <c r="A489" s="1">
        <v>41795</v>
      </c>
      <c r="B489">
        <v>15</v>
      </c>
      <c r="C489">
        <v>443</v>
      </c>
      <c r="D489" t="str">
        <f>_xlfn.XLOOKUP(B489, 'Cust_inform'!A:A, 'Cust_inform'!E:E, "NOT FOUND")</f>
        <v>UNEMPLOYED</v>
      </c>
      <c r="E489">
        <f>_xlfn.XLOOKUP(B489, 'Cust_inform'!A:A, 'Cust_inform'!D:D)</f>
        <v>13</v>
      </c>
      <c r="F489" t="str">
        <f>_xlfn.XLOOKUP(E489,Postcodes!A:A, Postcodes!B:B, "NOT FOUND")</f>
        <v>W</v>
      </c>
    </row>
    <row r="490" spans="1:6" x14ac:dyDescent="0.25">
      <c r="A490" s="1">
        <v>41802</v>
      </c>
      <c r="B490">
        <v>15</v>
      </c>
      <c r="C490">
        <v>500</v>
      </c>
      <c r="D490" t="str">
        <f>_xlfn.XLOOKUP(B490, 'Cust_inform'!A:A, 'Cust_inform'!E:E, "NOT FOUND")</f>
        <v>UNEMPLOYED</v>
      </c>
      <c r="E490">
        <f>_xlfn.XLOOKUP(B490, 'Cust_inform'!A:A, 'Cust_inform'!D:D)</f>
        <v>13</v>
      </c>
      <c r="F490" t="str">
        <f>_xlfn.XLOOKUP(E490,Postcodes!A:A, Postcodes!B:B, "NOT FOUND")</f>
        <v>W</v>
      </c>
    </row>
    <row r="491" spans="1:6" x14ac:dyDescent="0.25">
      <c r="A491" s="1">
        <v>41803</v>
      </c>
      <c r="B491">
        <v>15</v>
      </c>
      <c r="C491">
        <v>472</v>
      </c>
      <c r="D491" t="str">
        <f>_xlfn.XLOOKUP(B491, 'Cust_inform'!A:A, 'Cust_inform'!E:E, "NOT FOUND")</f>
        <v>UNEMPLOYED</v>
      </c>
      <c r="E491">
        <f>_xlfn.XLOOKUP(B491, 'Cust_inform'!A:A, 'Cust_inform'!D:D)</f>
        <v>13</v>
      </c>
      <c r="F491" t="str">
        <f>_xlfn.XLOOKUP(E491,Postcodes!A:A, Postcodes!B:B, "NOT FOUND")</f>
        <v>W</v>
      </c>
    </row>
    <row r="492" spans="1:6" x14ac:dyDescent="0.25">
      <c r="A492" s="1">
        <v>41806</v>
      </c>
      <c r="B492">
        <v>15</v>
      </c>
      <c r="C492">
        <v>468</v>
      </c>
      <c r="D492" t="str">
        <f>_xlfn.XLOOKUP(B492, 'Cust_inform'!A:A, 'Cust_inform'!E:E, "NOT FOUND")</f>
        <v>UNEMPLOYED</v>
      </c>
      <c r="E492">
        <f>_xlfn.XLOOKUP(B492, 'Cust_inform'!A:A, 'Cust_inform'!D:D)</f>
        <v>13</v>
      </c>
      <c r="F492" t="str">
        <f>_xlfn.XLOOKUP(E492,Postcodes!A:A, Postcodes!B:B, "NOT FOUND")</f>
        <v>W</v>
      </c>
    </row>
    <row r="493" spans="1:6" x14ac:dyDescent="0.25">
      <c r="A493" s="1">
        <v>41631</v>
      </c>
      <c r="B493">
        <v>16</v>
      </c>
      <c r="C493">
        <v>334</v>
      </c>
      <c r="D493" t="str">
        <f>_xlfn.XLOOKUP(B493, 'Cust_inform'!A:A, 'Cust_inform'!E:E, "NOT FOUND")</f>
        <v>UNEMPLOYED</v>
      </c>
      <c r="E493">
        <f>_xlfn.XLOOKUP(B493, 'Cust_inform'!A:A, 'Cust_inform'!D:D)</f>
        <v>1</v>
      </c>
      <c r="F493" t="str">
        <f>_xlfn.XLOOKUP(E493,Postcodes!A:A, Postcodes!B:B, "NOT FOUND")</f>
        <v>E</v>
      </c>
    </row>
    <row r="494" spans="1:6" x14ac:dyDescent="0.25">
      <c r="A494" s="1">
        <v>41683</v>
      </c>
      <c r="B494">
        <v>16</v>
      </c>
      <c r="C494">
        <v>343</v>
      </c>
      <c r="D494" t="str">
        <f>_xlfn.XLOOKUP(B494, 'Cust_inform'!A:A, 'Cust_inform'!E:E, "NOT FOUND")</f>
        <v>UNEMPLOYED</v>
      </c>
      <c r="E494">
        <f>_xlfn.XLOOKUP(B494, 'Cust_inform'!A:A, 'Cust_inform'!D:D)</f>
        <v>1</v>
      </c>
      <c r="F494" t="str">
        <f>_xlfn.XLOOKUP(E494,Postcodes!A:A, Postcodes!B:B, "NOT FOUND")</f>
        <v>E</v>
      </c>
    </row>
    <row r="495" spans="1:6" x14ac:dyDescent="0.25">
      <c r="A495" s="1">
        <v>41686</v>
      </c>
      <c r="B495">
        <v>16</v>
      </c>
      <c r="C495">
        <v>288</v>
      </c>
      <c r="D495" t="str">
        <f>_xlfn.XLOOKUP(B495, 'Cust_inform'!A:A, 'Cust_inform'!E:E, "NOT FOUND")</f>
        <v>UNEMPLOYED</v>
      </c>
      <c r="E495">
        <f>_xlfn.XLOOKUP(B495, 'Cust_inform'!A:A, 'Cust_inform'!D:D)</f>
        <v>1</v>
      </c>
      <c r="F495" t="str">
        <f>_xlfn.XLOOKUP(E495,Postcodes!A:A, Postcodes!B:B, "NOT FOUND")</f>
        <v>E</v>
      </c>
    </row>
    <row r="496" spans="1:6" x14ac:dyDescent="0.25">
      <c r="A496" s="1">
        <v>41692</v>
      </c>
      <c r="B496">
        <v>16</v>
      </c>
      <c r="C496">
        <v>292</v>
      </c>
      <c r="D496" t="str">
        <f>_xlfn.XLOOKUP(B496, 'Cust_inform'!A:A, 'Cust_inform'!E:E, "NOT FOUND")</f>
        <v>UNEMPLOYED</v>
      </c>
      <c r="E496">
        <f>_xlfn.XLOOKUP(B496, 'Cust_inform'!A:A, 'Cust_inform'!D:D)</f>
        <v>1</v>
      </c>
      <c r="F496" t="str">
        <f>_xlfn.XLOOKUP(E496,Postcodes!A:A, Postcodes!B:B, "NOT FOUND")</f>
        <v>E</v>
      </c>
    </row>
    <row r="497" spans="1:6" x14ac:dyDescent="0.25">
      <c r="A497" s="1">
        <v>41714</v>
      </c>
      <c r="B497">
        <v>16</v>
      </c>
      <c r="C497">
        <v>304</v>
      </c>
      <c r="D497" t="str">
        <f>_xlfn.XLOOKUP(B497, 'Cust_inform'!A:A, 'Cust_inform'!E:E, "NOT FOUND")</f>
        <v>UNEMPLOYED</v>
      </c>
      <c r="E497">
        <f>_xlfn.XLOOKUP(B497, 'Cust_inform'!A:A, 'Cust_inform'!D:D)</f>
        <v>1</v>
      </c>
      <c r="F497" t="str">
        <f>_xlfn.XLOOKUP(E497,Postcodes!A:A, Postcodes!B:B, "NOT FOUND")</f>
        <v>E</v>
      </c>
    </row>
    <row r="498" spans="1:6" x14ac:dyDescent="0.25">
      <c r="A498" s="1">
        <v>41719</v>
      </c>
      <c r="B498">
        <v>16</v>
      </c>
      <c r="C498">
        <v>310</v>
      </c>
      <c r="D498" t="str">
        <f>_xlfn.XLOOKUP(B498, 'Cust_inform'!A:A, 'Cust_inform'!E:E, "NOT FOUND")</f>
        <v>UNEMPLOYED</v>
      </c>
      <c r="E498">
        <f>_xlfn.XLOOKUP(B498, 'Cust_inform'!A:A, 'Cust_inform'!D:D)</f>
        <v>1</v>
      </c>
      <c r="F498" t="str">
        <f>_xlfn.XLOOKUP(E498,Postcodes!A:A, Postcodes!B:B, "NOT FOUND")</f>
        <v>E</v>
      </c>
    </row>
    <row r="499" spans="1:6" x14ac:dyDescent="0.25">
      <c r="A499" s="1">
        <v>41721</v>
      </c>
      <c r="B499">
        <v>16</v>
      </c>
      <c r="C499">
        <v>330</v>
      </c>
      <c r="D499" t="str">
        <f>_xlfn.XLOOKUP(B499, 'Cust_inform'!A:A, 'Cust_inform'!E:E, "NOT FOUND")</f>
        <v>UNEMPLOYED</v>
      </c>
      <c r="E499">
        <f>_xlfn.XLOOKUP(B499, 'Cust_inform'!A:A, 'Cust_inform'!D:D)</f>
        <v>1</v>
      </c>
      <c r="F499" t="str">
        <f>_xlfn.XLOOKUP(E499,Postcodes!A:A, Postcodes!B:B, "NOT FOUND")</f>
        <v>E</v>
      </c>
    </row>
    <row r="500" spans="1:6" x14ac:dyDescent="0.25">
      <c r="A500" s="1">
        <v>41729</v>
      </c>
      <c r="B500">
        <v>16</v>
      </c>
      <c r="C500">
        <v>318</v>
      </c>
      <c r="D500" t="str">
        <f>_xlfn.XLOOKUP(B500, 'Cust_inform'!A:A, 'Cust_inform'!E:E, "NOT FOUND")</f>
        <v>UNEMPLOYED</v>
      </c>
      <c r="E500">
        <f>_xlfn.XLOOKUP(B500, 'Cust_inform'!A:A, 'Cust_inform'!D:D)</f>
        <v>1</v>
      </c>
      <c r="F500" t="str">
        <f>_xlfn.XLOOKUP(E500,Postcodes!A:A, Postcodes!B:B, "NOT FOUND")</f>
        <v>E</v>
      </c>
    </row>
    <row r="501" spans="1:6" x14ac:dyDescent="0.25">
      <c r="A501" s="1">
        <v>41731</v>
      </c>
      <c r="B501">
        <v>16</v>
      </c>
      <c r="C501">
        <v>353</v>
      </c>
      <c r="D501" t="str">
        <f>_xlfn.XLOOKUP(B501, 'Cust_inform'!A:A, 'Cust_inform'!E:E, "NOT FOUND")</f>
        <v>UNEMPLOYED</v>
      </c>
      <c r="E501">
        <f>_xlfn.XLOOKUP(B501, 'Cust_inform'!A:A, 'Cust_inform'!D:D)</f>
        <v>1</v>
      </c>
      <c r="F501" t="str">
        <f>_xlfn.XLOOKUP(E501,Postcodes!A:A, Postcodes!B:B, "NOT FOUND")</f>
        <v>E</v>
      </c>
    </row>
    <row r="502" spans="1:6" x14ac:dyDescent="0.25">
      <c r="A502" s="1">
        <v>41741</v>
      </c>
      <c r="B502">
        <v>16</v>
      </c>
      <c r="C502">
        <v>306</v>
      </c>
      <c r="D502" t="str">
        <f>_xlfn.XLOOKUP(B502, 'Cust_inform'!A:A, 'Cust_inform'!E:E, "NOT FOUND")</f>
        <v>UNEMPLOYED</v>
      </c>
      <c r="E502">
        <f>_xlfn.XLOOKUP(B502, 'Cust_inform'!A:A, 'Cust_inform'!D:D)</f>
        <v>1</v>
      </c>
      <c r="F502" t="str">
        <f>_xlfn.XLOOKUP(E502,Postcodes!A:A, Postcodes!B:B, "NOT FOUND")</f>
        <v>E</v>
      </c>
    </row>
    <row r="503" spans="1:6" x14ac:dyDescent="0.25">
      <c r="A503" s="1">
        <v>41745</v>
      </c>
      <c r="B503">
        <v>16</v>
      </c>
      <c r="C503">
        <v>352</v>
      </c>
      <c r="D503" t="str">
        <f>_xlfn.XLOOKUP(B503, 'Cust_inform'!A:A, 'Cust_inform'!E:E, "NOT FOUND")</f>
        <v>UNEMPLOYED</v>
      </c>
      <c r="E503">
        <f>_xlfn.XLOOKUP(B503, 'Cust_inform'!A:A, 'Cust_inform'!D:D)</f>
        <v>1</v>
      </c>
      <c r="F503" t="str">
        <f>_xlfn.XLOOKUP(E503,Postcodes!A:A, Postcodes!B:B, "NOT FOUND")</f>
        <v>E</v>
      </c>
    </row>
    <row r="504" spans="1:6" x14ac:dyDescent="0.25">
      <c r="A504" s="1">
        <v>41750</v>
      </c>
      <c r="B504">
        <v>16</v>
      </c>
      <c r="C504">
        <v>315</v>
      </c>
      <c r="D504" t="str">
        <f>_xlfn.XLOOKUP(B504, 'Cust_inform'!A:A, 'Cust_inform'!E:E, "NOT FOUND")</f>
        <v>UNEMPLOYED</v>
      </c>
      <c r="E504">
        <f>_xlfn.XLOOKUP(B504, 'Cust_inform'!A:A, 'Cust_inform'!D:D)</f>
        <v>1</v>
      </c>
      <c r="F504" t="str">
        <f>_xlfn.XLOOKUP(E504,Postcodes!A:A, Postcodes!B:B, "NOT FOUND")</f>
        <v>E</v>
      </c>
    </row>
    <row r="505" spans="1:6" x14ac:dyDescent="0.25">
      <c r="A505" s="1">
        <v>41770</v>
      </c>
      <c r="B505">
        <v>16</v>
      </c>
      <c r="C505">
        <v>333</v>
      </c>
      <c r="D505" t="str">
        <f>_xlfn.XLOOKUP(B505, 'Cust_inform'!A:A, 'Cust_inform'!E:E, "NOT FOUND")</f>
        <v>UNEMPLOYED</v>
      </c>
      <c r="E505">
        <f>_xlfn.XLOOKUP(B505, 'Cust_inform'!A:A, 'Cust_inform'!D:D)</f>
        <v>1</v>
      </c>
      <c r="F505" t="str">
        <f>_xlfn.XLOOKUP(E505,Postcodes!A:A, Postcodes!B:B, "NOT FOUND")</f>
        <v>E</v>
      </c>
    </row>
    <row r="506" spans="1:6" x14ac:dyDescent="0.25">
      <c r="A506" s="1">
        <v>41774</v>
      </c>
      <c r="B506">
        <v>16</v>
      </c>
      <c r="C506">
        <v>342</v>
      </c>
      <c r="D506" t="str">
        <f>_xlfn.XLOOKUP(B506, 'Cust_inform'!A:A, 'Cust_inform'!E:E, "NOT FOUND")</f>
        <v>UNEMPLOYED</v>
      </c>
      <c r="E506">
        <f>_xlfn.XLOOKUP(B506, 'Cust_inform'!A:A, 'Cust_inform'!D:D)</f>
        <v>1</v>
      </c>
      <c r="F506" t="str">
        <f>_xlfn.XLOOKUP(E506,Postcodes!A:A, Postcodes!B:B, "NOT FOUND")</f>
        <v>E</v>
      </c>
    </row>
    <row r="507" spans="1:6" x14ac:dyDescent="0.25">
      <c r="A507" s="1">
        <v>41811</v>
      </c>
      <c r="B507">
        <v>16</v>
      </c>
      <c r="C507">
        <v>301</v>
      </c>
      <c r="D507" t="str">
        <f>_xlfn.XLOOKUP(B507, 'Cust_inform'!A:A, 'Cust_inform'!E:E, "NOT FOUND")</f>
        <v>UNEMPLOYED</v>
      </c>
      <c r="E507">
        <f>_xlfn.XLOOKUP(B507, 'Cust_inform'!A:A, 'Cust_inform'!D:D)</f>
        <v>1</v>
      </c>
      <c r="F507" t="str">
        <f>_xlfn.XLOOKUP(E507,Postcodes!A:A, Postcodes!B:B, "NOT FOUND")</f>
        <v>E</v>
      </c>
    </row>
    <row r="508" spans="1:6" x14ac:dyDescent="0.25">
      <c r="A508" s="1">
        <v>41816</v>
      </c>
      <c r="B508">
        <v>16</v>
      </c>
      <c r="C508">
        <v>302</v>
      </c>
      <c r="D508" t="str">
        <f>_xlfn.XLOOKUP(B508, 'Cust_inform'!A:A, 'Cust_inform'!E:E, "NOT FOUND")</f>
        <v>UNEMPLOYED</v>
      </c>
      <c r="E508">
        <f>_xlfn.XLOOKUP(B508, 'Cust_inform'!A:A, 'Cust_inform'!D:D)</f>
        <v>1</v>
      </c>
      <c r="F508" t="str">
        <f>_xlfn.XLOOKUP(E508,Postcodes!A:A, Postcodes!B:B, "NOT FOUND")</f>
        <v>E</v>
      </c>
    </row>
    <row r="509" spans="1:6" x14ac:dyDescent="0.25">
      <c r="A509" s="1">
        <v>41619</v>
      </c>
      <c r="B509">
        <v>17</v>
      </c>
      <c r="C509">
        <v>412</v>
      </c>
      <c r="D509" t="str">
        <f>_xlfn.XLOOKUP(B509, 'Cust_inform'!A:A, 'Cust_inform'!E:E, "NOT FOUND")</f>
        <v>UNEMPLOYED</v>
      </c>
      <c r="E509">
        <f>_xlfn.XLOOKUP(B509, 'Cust_inform'!A:A, 'Cust_inform'!D:D)</f>
        <v>6</v>
      </c>
      <c r="F509" t="str">
        <f>_xlfn.XLOOKUP(E509,Postcodes!A:A, Postcodes!B:B, "NOT FOUND")</f>
        <v>E</v>
      </c>
    </row>
    <row r="510" spans="1:6" x14ac:dyDescent="0.25">
      <c r="A510" s="1">
        <v>41638</v>
      </c>
      <c r="B510">
        <v>17</v>
      </c>
      <c r="C510">
        <v>513</v>
      </c>
      <c r="D510" t="str">
        <f>_xlfn.XLOOKUP(B510, 'Cust_inform'!A:A, 'Cust_inform'!E:E, "NOT FOUND")</f>
        <v>UNEMPLOYED</v>
      </c>
      <c r="E510">
        <f>_xlfn.XLOOKUP(B510, 'Cust_inform'!A:A, 'Cust_inform'!D:D)</f>
        <v>6</v>
      </c>
      <c r="F510" t="str">
        <f>_xlfn.XLOOKUP(E510,Postcodes!A:A, Postcodes!B:B, "NOT FOUND")</f>
        <v>E</v>
      </c>
    </row>
    <row r="511" spans="1:6" x14ac:dyDescent="0.25">
      <c r="A511" s="1">
        <v>41640</v>
      </c>
      <c r="B511">
        <v>17</v>
      </c>
      <c r="C511">
        <v>504</v>
      </c>
      <c r="D511" t="str">
        <f>_xlfn.XLOOKUP(B511, 'Cust_inform'!A:A, 'Cust_inform'!E:E, "NOT FOUND")</f>
        <v>UNEMPLOYED</v>
      </c>
      <c r="E511">
        <f>_xlfn.XLOOKUP(B511, 'Cust_inform'!A:A, 'Cust_inform'!D:D)</f>
        <v>6</v>
      </c>
      <c r="F511" t="str">
        <f>_xlfn.XLOOKUP(E511,Postcodes!A:A, Postcodes!B:B, "NOT FOUND")</f>
        <v>E</v>
      </c>
    </row>
    <row r="512" spans="1:6" x14ac:dyDescent="0.25">
      <c r="A512" s="1">
        <v>41664</v>
      </c>
      <c r="B512">
        <v>17</v>
      </c>
      <c r="C512">
        <v>487</v>
      </c>
      <c r="D512" t="str">
        <f>_xlfn.XLOOKUP(B512, 'Cust_inform'!A:A, 'Cust_inform'!E:E, "NOT FOUND")</f>
        <v>UNEMPLOYED</v>
      </c>
      <c r="E512">
        <f>_xlfn.XLOOKUP(B512, 'Cust_inform'!A:A, 'Cust_inform'!D:D)</f>
        <v>6</v>
      </c>
      <c r="F512" t="str">
        <f>_xlfn.XLOOKUP(E512,Postcodes!A:A, Postcodes!B:B, "NOT FOUND")</f>
        <v>E</v>
      </c>
    </row>
    <row r="513" spans="1:6" x14ac:dyDescent="0.25">
      <c r="A513" s="1">
        <v>41687</v>
      </c>
      <c r="B513">
        <v>17</v>
      </c>
      <c r="C513">
        <v>509</v>
      </c>
      <c r="D513" t="str">
        <f>_xlfn.XLOOKUP(B513, 'Cust_inform'!A:A, 'Cust_inform'!E:E, "NOT FOUND")</f>
        <v>UNEMPLOYED</v>
      </c>
      <c r="E513">
        <f>_xlfn.XLOOKUP(B513, 'Cust_inform'!A:A, 'Cust_inform'!D:D)</f>
        <v>6</v>
      </c>
      <c r="F513" t="str">
        <f>_xlfn.XLOOKUP(E513,Postcodes!A:A, Postcodes!B:B, "NOT FOUND")</f>
        <v>E</v>
      </c>
    </row>
    <row r="514" spans="1:6" x14ac:dyDescent="0.25">
      <c r="A514" s="1">
        <v>41692</v>
      </c>
      <c r="B514">
        <v>17</v>
      </c>
      <c r="C514">
        <v>437</v>
      </c>
      <c r="D514" t="str">
        <f>_xlfn.XLOOKUP(B514, 'Cust_inform'!A:A, 'Cust_inform'!E:E, "NOT FOUND")</f>
        <v>UNEMPLOYED</v>
      </c>
      <c r="E514">
        <f>_xlfn.XLOOKUP(B514, 'Cust_inform'!A:A, 'Cust_inform'!D:D)</f>
        <v>6</v>
      </c>
      <c r="F514" t="str">
        <f>_xlfn.XLOOKUP(E514,Postcodes!A:A, Postcodes!B:B, "NOT FOUND")</f>
        <v>E</v>
      </c>
    </row>
    <row r="515" spans="1:6" x14ac:dyDescent="0.25">
      <c r="A515" s="1">
        <v>41708</v>
      </c>
      <c r="B515">
        <v>17</v>
      </c>
      <c r="C515">
        <v>416</v>
      </c>
      <c r="D515" t="str">
        <f>_xlfn.XLOOKUP(B515, 'Cust_inform'!A:A, 'Cust_inform'!E:E, "NOT FOUND")</f>
        <v>UNEMPLOYED</v>
      </c>
      <c r="E515">
        <f>_xlfn.XLOOKUP(B515, 'Cust_inform'!A:A, 'Cust_inform'!D:D)</f>
        <v>6</v>
      </c>
      <c r="F515" t="str">
        <f>_xlfn.XLOOKUP(E515,Postcodes!A:A, Postcodes!B:B, "NOT FOUND")</f>
        <v>E</v>
      </c>
    </row>
    <row r="516" spans="1:6" x14ac:dyDescent="0.25">
      <c r="A516" s="1">
        <v>41709</v>
      </c>
      <c r="B516">
        <v>17</v>
      </c>
      <c r="C516">
        <v>488</v>
      </c>
      <c r="D516" t="str">
        <f>_xlfn.XLOOKUP(B516, 'Cust_inform'!A:A, 'Cust_inform'!E:E, "NOT FOUND")</f>
        <v>UNEMPLOYED</v>
      </c>
      <c r="E516">
        <f>_xlfn.XLOOKUP(B516, 'Cust_inform'!A:A, 'Cust_inform'!D:D)</f>
        <v>6</v>
      </c>
      <c r="F516" t="str">
        <f>_xlfn.XLOOKUP(E516,Postcodes!A:A, Postcodes!B:B, "NOT FOUND")</f>
        <v>E</v>
      </c>
    </row>
    <row r="517" spans="1:6" x14ac:dyDescent="0.25">
      <c r="A517" s="1">
        <v>41717</v>
      </c>
      <c r="B517">
        <v>17</v>
      </c>
      <c r="C517">
        <v>489</v>
      </c>
      <c r="D517" t="str">
        <f>_xlfn.XLOOKUP(B517, 'Cust_inform'!A:A, 'Cust_inform'!E:E, "NOT FOUND")</f>
        <v>UNEMPLOYED</v>
      </c>
      <c r="E517">
        <f>_xlfn.XLOOKUP(B517, 'Cust_inform'!A:A, 'Cust_inform'!D:D)</f>
        <v>6</v>
      </c>
      <c r="F517" t="str">
        <f>_xlfn.XLOOKUP(E517,Postcodes!A:A, Postcodes!B:B, "NOT FOUND")</f>
        <v>E</v>
      </c>
    </row>
    <row r="518" spans="1:6" x14ac:dyDescent="0.25">
      <c r="A518" s="1">
        <v>41719</v>
      </c>
      <c r="B518">
        <v>17</v>
      </c>
      <c r="C518">
        <v>447</v>
      </c>
      <c r="D518" t="str">
        <f>_xlfn.XLOOKUP(B518, 'Cust_inform'!A:A, 'Cust_inform'!E:E, "NOT FOUND")</f>
        <v>UNEMPLOYED</v>
      </c>
      <c r="E518">
        <f>_xlfn.XLOOKUP(B518, 'Cust_inform'!A:A, 'Cust_inform'!D:D)</f>
        <v>6</v>
      </c>
      <c r="F518" t="str">
        <f>_xlfn.XLOOKUP(E518,Postcodes!A:A, Postcodes!B:B, "NOT FOUND")</f>
        <v>E</v>
      </c>
    </row>
    <row r="519" spans="1:6" x14ac:dyDescent="0.25">
      <c r="A519" s="1">
        <v>41734</v>
      </c>
      <c r="B519">
        <v>17</v>
      </c>
      <c r="C519">
        <v>422</v>
      </c>
      <c r="D519" t="str">
        <f>_xlfn.XLOOKUP(B519, 'Cust_inform'!A:A, 'Cust_inform'!E:E, "NOT FOUND")</f>
        <v>UNEMPLOYED</v>
      </c>
      <c r="E519">
        <f>_xlfn.XLOOKUP(B519, 'Cust_inform'!A:A, 'Cust_inform'!D:D)</f>
        <v>6</v>
      </c>
      <c r="F519" t="str">
        <f>_xlfn.XLOOKUP(E519,Postcodes!A:A, Postcodes!B:B, "NOT FOUND")</f>
        <v>E</v>
      </c>
    </row>
    <row r="520" spans="1:6" x14ac:dyDescent="0.25">
      <c r="A520" s="1">
        <v>41739</v>
      </c>
      <c r="B520">
        <v>17</v>
      </c>
      <c r="C520">
        <v>500</v>
      </c>
      <c r="D520" t="str">
        <f>_xlfn.XLOOKUP(B520, 'Cust_inform'!A:A, 'Cust_inform'!E:E, "NOT FOUND")</f>
        <v>UNEMPLOYED</v>
      </c>
      <c r="E520">
        <f>_xlfn.XLOOKUP(B520, 'Cust_inform'!A:A, 'Cust_inform'!D:D)</f>
        <v>6</v>
      </c>
      <c r="F520" t="str">
        <f>_xlfn.XLOOKUP(E520,Postcodes!A:A, Postcodes!B:B, "NOT FOUND")</f>
        <v>E</v>
      </c>
    </row>
    <row r="521" spans="1:6" x14ac:dyDescent="0.25">
      <c r="A521" s="1">
        <v>41740</v>
      </c>
      <c r="B521">
        <v>17</v>
      </c>
      <c r="C521">
        <v>492</v>
      </c>
      <c r="D521" t="str">
        <f>_xlfn.XLOOKUP(B521, 'Cust_inform'!A:A, 'Cust_inform'!E:E, "NOT FOUND")</f>
        <v>UNEMPLOYED</v>
      </c>
      <c r="E521">
        <f>_xlfn.XLOOKUP(B521, 'Cust_inform'!A:A, 'Cust_inform'!D:D)</f>
        <v>6</v>
      </c>
      <c r="F521" t="str">
        <f>_xlfn.XLOOKUP(E521,Postcodes!A:A, Postcodes!B:B, "NOT FOUND")</f>
        <v>E</v>
      </c>
    </row>
    <row r="522" spans="1:6" x14ac:dyDescent="0.25">
      <c r="A522" s="1">
        <v>41755</v>
      </c>
      <c r="B522">
        <v>17</v>
      </c>
      <c r="C522">
        <v>479</v>
      </c>
      <c r="D522" t="str">
        <f>_xlfn.XLOOKUP(B522, 'Cust_inform'!A:A, 'Cust_inform'!E:E, "NOT FOUND")</f>
        <v>UNEMPLOYED</v>
      </c>
      <c r="E522">
        <f>_xlfn.XLOOKUP(B522, 'Cust_inform'!A:A, 'Cust_inform'!D:D)</f>
        <v>6</v>
      </c>
      <c r="F522" t="str">
        <f>_xlfn.XLOOKUP(E522,Postcodes!A:A, Postcodes!B:B, "NOT FOUND")</f>
        <v>E</v>
      </c>
    </row>
    <row r="523" spans="1:6" x14ac:dyDescent="0.25">
      <c r="A523" s="1">
        <v>41764</v>
      </c>
      <c r="B523">
        <v>17</v>
      </c>
      <c r="C523">
        <v>458</v>
      </c>
      <c r="D523" t="str">
        <f>_xlfn.XLOOKUP(B523, 'Cust_inform'!A:A, 'Cust_inform'!E:E, "NOT FOUND")</f>
        <v>UNEMPLOYED</v>
      </c>
      <c r="E523">
        <f>_xlfn.XLOOKUP(B523, 'Cust_inform'!A:A, 'Cust_inform'!D:D)</f>
        <v>6</v>
      </c>
      <c r="F523" t="str">
        <f>_xlfn.XLOOKUP(E523,Postcodes!A:A, Postcodes!B:B, "NOT FOUND")</f>
        <v>E</v>
      </c>
    </row>
    <row r="524" spans="1:6" x14ac:dyDescent="0.25">
      <c r="A524" s="1">
        <v>41767</v>
      </c>
      <c r="B524">
        <v>17</v>
      </c>
      <c r="C524">
        <v>462</v>
      </c>
      <c r="D524" t="str">
        <f>_xlfn.XLOOKUP(B524, 'Cust_inform'!A:A, 'Cust_inform'!E:E, "NOT FOUND")</f>
        <v>UNEMPLOYED</v>
      </c>
      <c r="E524">
        <f>_xlfn.XLOOKUP(B524, 'Cust_inform'!A:A, 'Cust_inform'!D:D)</f>
        <v>6</v>
      </c>
      <c r="F524" t="str">
        <f>_xlfn.XLOOKUP(E524,Postcodes!A:A, Postcodes!B:B, "NOT FOUND")</f>
        <v>E</v>
      </c>
    </row>
    <row r="525" spans="1:6" x14ac:dyDescent="0.25">
      <c r="A525" s="1">
        <v>41769</v>
      </c>
      <c r="B525">
        <v>17</v>
      </c>
      <c r="C525">
        <v>510</v>
      </c>
      <c r="D525" t="str">
        <f>_xlfn.XLOOKUP(B525, 'Cust_inform'!A:A, 'Cust_inform'!E:E, "NOT FOUND")</f>
        <v>UNEMPLOYED</v>
      </c>
      <c r="E525">
        <f>_xlfn.XLOOKUP(B525, 'Cust_inform'!A:A, 'Cust_inform'!D:D)</f>
        <v>6</v>
      </c>
      <c r="F525" t="str">
        <f>_xlfn.XLOOKUP(E525,Postcodes!A:A, Postcodes!B:B, "NOT FOUND")</f>
        <v>E</v>
      </c>
    </row>
    <row r="526" spans="1:6" x14ac:dyDescent="0.25">
      <c r="A526" s="1">
        <v>41778</v>
      </c>
      <c r="B526">
        <v>17</v>
      </c>
      <c r="C526">
        <v>470</v>
      </c>
      <c r="D526" t="str">
        <f>_xlfn.XLOOKUP(B526, 'Cust_inform'!A:A, 'Cust_inform'!E:E, "NOT FOUND")</f>
        <v>UNEMPLOYED</v>
      </c>
      <c r="E526">
        <f>_xlfn.XLOOKUP(B526, 'Cust_inform'!A:A, 'Cust_inform'!D:D)</f>
        <v>6</v>
      </c>
      <c r="F526" t="str">
        <f>_xlfn.XLOOKUP(E526,Postcodes!A:A, Postcodes!B:B, "NOT FOUND")</f>
        <v>E</v>
      </c>
    </row>
    <row r="527" spans="1:6" x14ac:dyDescent="0.25">
      <c r="A527" s="1">
        <v>41782</v>
      </c>
      <c r="B527">
        <v>17</v>
      </c>
      <c r="C527">
        <v>490</v>
      </c>
      <c r="D527" t="str">
        <f>_xlfn.XLOOKUP(B527, 'Cust_inform'!A:A, 'Cust_inform'!E:E, "NOT FOUND")</f>
        <v>UNEMPLOYED</v>
      </c>
      <c r="E527">
        <f>_xlfn.XLOOKUP(B527, 'Cust_inform'!A:A, 'Cust_inform'!D:D)</f>
        <v>6</v>
      </c>
      <c r="F527" t="str">
        <f>_xlfn.XLOOKUP(E527,Postcodes!A:A, Postcodes!B:B, "NOT FOUND")</f>
        <v>E</v>
      </c>
    </row>
    <row r="528" spans="1:6" x14ac:dyDescent="0.25">
      <c r="A528" s="1">
        <v>41785</v>
      </c>
      <c r="B528">
        <v>17</v>
      </c>
      <c r="C528">
        <v>481</v>
      </c>
      <c r="D528" t="str">
        <f>_xlfn.XLOOKUP(B528, 'Cust_inform'!A:A, 'Cust_inform'!E:E, "NOT FOUND")</f>
        <v>UNEMPLOYED</v>
      </c>
      <c r="E528">
        <f>_xlfn.XLOOKUP(B528, 'Cust_inform'!A:A, 'Cust_inform'!D:D)</f>
        <v>6</v>
      </c>
      <c r="F528" t="str">
        <f>_xlfn.XLOOKUP(E528,Postcodes!A:A, Postcodes!B:B, "NOT FOUND")</f>
        <v>E</v>
      </c>
    </row>
    <row r="529" spans="1:6" x14ac:dyDescent="0.25">
      <c r="A529" s="1">
        <v>41791</v>
      </c>
      <c r="B529">
        <v>17</v>
      </c>
      <c r="C529">
        <v>432</v>
      </c>
      <c r="D529" t="str">
        <f>_xlfn.XLOOKUP(B529, 'Cust_inform'!A:A, 'Cust_inform'!E:E, "NOT FOUND")</f>
        <v>UNEMPLOYED</v>
      </c>
      <c r="E529">
        <f>_xlfn.XLOOKUP(B529, 'Cust_inform'!A:A, 'Cust_inform'!D:D)</f>
        <v>6</v>
      </c>
      <c r="F529" t="str">
        <f>_xlfn.XLOOKUP(E529,Postcodes!A:A, Postcodes!B:B, "NOT FOUND")</f>
        <v>E</v>
      </c>
    </row>
    <row r="530" spans="1:6" x14ac:dyDescent="0.25">
      <c r="A530" s="1">
        <v>41795</v>
      </c>
      <c r="B530">
        <v>17</v>
      </c>
      <c r="C530">
        <v>425</v>
      </c>
      <c r="D530" t="str">
        <f>_xlfn.XLOOKUP(B530, 'Cust_inform'!A:A, 'Cust_inform'!E:E, "NOT FOUND")</f>
        <v>UNEMPLOYED</v>
      </c>
      <c r="E530">
        <f>_xlfn.XLOOKUP(B530, 'Cust_inform'!A:A, 'Cust_inform'!D:D)</f>
        <v>6</v>
      </c>
      <c r="F530" t="str">
        <f>_xlfn.XLOOKUP(E530,Postcodes!A:A, Postcodes!B:B, "NOT FOUND")</f>
        <v>E</v>
      </c>
    </row>
    <row r="531" spans="1:6" x14ac:dyDescent="0.25">
      <c r="A531" s="1">
        <v>41795</v>
      </c>
      <c r="B531">
        <v>17</v>
      </c>
      <c r="C531">
        <v>491</v>
      </c>
      <c r="D531" t="str">
        <f>_xlfn.XLOOKUP(B531, 'Cust_inform'!A:A, 'Cust_inform'!E:E, "NOT FOUND")</f>
        <v>UNEMPLOYED</v>
      </c>
      <c r="E531">
        <f>_xlfn.XLOOKUP(B531, 'Cust_inform'!A:A, 'Cust_inform'!D:D)</f>
        <v>6</v>
      </c>
      <c r="F531" t="str">
        <f>_xlfn.XLOOKUP(E531,Postcodes!A:A, Postcodes!B:B, "NOT FOUND")</f>
        <v>E</v>
      </c>
    </row>
    <row r="532" spans="1:6" x14ac:dyDescent="0.25">
      <c r="A532" s="1">
        <v>41799</v>
      </c>
      <c r="B532">
        <v>17</v>
      </c>
      <c r="C532">
        <v>457</v>
      </c>
      <c r="D532" t="str">
        <f>_xlfn.XLOOKUP(B532, 'Cust_inform'!A:A, 'Cust_inform'!E:E, "NOT FOUND")</f>
        <v>UNEMPLOYED</v>
      </c>
      <c r="E532">
        <f>_xlfn.XLOOKUP(B532, 'Cust_inform'!A:A, 'Cust_inform'!D:D)</f>
        <v>6</v>
      </c>
      <c r="F532" t="str">
        <f>_xlfn.XLOOKUP(E532,Postcodes!A:A, Postcodes!B:B, "NOT FOUND")</f>
        <v>E</v>
      </c>
    </row>
    <row r="533" spans="1:6" x14ac:dyDescent="0.25">
      <c r="A533" s="1">
        <v>41810</v>
      </c>
      <c r="B533">
        <v>17</v>
      </c>
      <c r="C533">
        <v>422</v>
      </c>
      <c r="D533" t="str">
        <f>_xlfn.XLOOKUP(B533, 'Cust_inform'!A:A, 'Cust_inform'!E:E, "NOT FOUND")</f>
        <v>UNEMPLOYED</v>
      </c>
      <c r="E533">
        <f>_xlfn.XLOOKUP(B533, 'Cust_inform'!A:A, 'Cust_inform'!D:D)</f>
        <v>6</v>
      </c>
      <c r="F533" t="str">
        <f>_xlfn.XLOOKUP(E533,Postcodes!A:A, Postcodes!B:B, "NOT FOUND")</f>
        <v>E</v>
      </c>
    </row>
    <row r="534" spans="1:6" x14ac:dyDescent="0.25">
      <c r="A534" s="1">
        <v>41812</v>
      </c>
      <c r="B534">
        <v>17</v>
      </c>
      <c r="C534">
        <v>499</v>
      </c>
      <c r="D534" t="str">
        <f>_xlfn.XLOOKUP(B534, 'Cust_inform'!A:A, 'Cust_inform'!E:E, "NOT FOUND")</f>
        <v>UNEMPLOYED</v>
      </c>
      <c r="E534">
        <f>_xlfn.XLOOKUP(B534, 'Cust_inform'!A:A, 'Cust_inform'!D:D)</f>
        <v>6</v>
      </c>
      <c r="F534" t="str">
        <f>_xlfn.XLOOKUP(E534,Postcodes!A:A, Postcodes!B:B, "NOT FOUND")</f>
        <v>E</v>
      </c>
    </row>
    <row r="535" spans="1:6" x14ac:dyDescent="0.25">
      <c r="A535" s="1">
        <v>41623</v>
      </c>
      <c r="B535">
        <v>18</v>
      </c>
      <c r="C535">
        <v>481</v>
      </c>
      <c r="D535" t="str">
        <f>_xlfn.XLOOKUP(B535, 'Cust_inform'!A:A, 'Cust_inform'!E:E, "NOT FOUND")</f>
        <v>UNEMPLOYED</v>
      </c>
      <c r="E535">
        <f>_xlfn.XLOOKUP(B535, 'Cust_inform'!A:A, 'Cust_inform'!D:D)</f>
        <v>4</v>
      </c>
      <c r="F535" t="str">
        <f>_xlfn.XLOOKUP(E535,Postcodes!A:A, Postcodes!B:B, "NOT FOUND")</f>
        <v>E</v>
      </c>
    </row>
    <row r="536" spans="1:6" x14ac:dyDescent="0.25">
      <c r="A536" s="1">
        <v>41625</v>
      </c>
      <c r="B536">
        <v>18</v>
      </c>
      <c r="C536">
        <v>440</v>
      </c>
      <c r="D536" t="str">
        <f>_xlfn.XLOOKUP(B536, 'Cust_inform'!A:A, 'Cust_inform'!E:E, "NOT FOUND")</f>
        <v>UNEMPLOYED</v>
      </c>
      <c r="E536">
        <f>_xlfn.XLOOKUP(B536, 'Cust_inform'!A:A, 'Cust_inform'!D:D)</f>
        <v>4</v>
      </c>
      <c r="F536" t="str">
        <f>_xlfn.XLOOKUP(E536,Postcodes!A:A, Postcodes!B:B, "NOT FOUND")</f>
        <v>E</v>
      </c>
    </row>
    <row r="537" spans="1:6" x14ac:dyDescent="0.25">
      <c r="A537" s="1">
        <v>41629</v>
      </c>
      <c r="B537">
        <v>18</v>
      </c>
      <c r="C537">
        <v>469</v>
      </c>
      <c r="D537" t="str">
        <f>_xlfn.XLOOKUP(B537, 'Cust_inform'!A:A, 'Cust_inform'!E:E, "NOT FOUND")</f>
        <v>UNEMPLOYED</v>
      </c>
      <c r="E537">
        <f>_xlfn.XLOOKUP(B537, 'Cust_inform'!A:A, 'Cust_inform'!D:D)</f>
        <v>4</v>
      </c>
      <c r="F537" t="str">
        <f>_xlfn.XLOOKUP(E537,Postcodes!A:A, Postcodes!B:B, "NOT FOUND")</f>
        <v>E</v>
      </c>
    </row>
    <row r="538" spans="1:6" x14ac:dyDescent="0.25">
      <c r="A538" s="1">
        <v>41637</v>
      </c>
      <c r="B538">
        <v>18</v>
      </c>
      <c r="C538">
        <v>484</v>
      </c>
      <c r="D538" t="str">
        <f>_xlfn.XLOOKUP(B538, 'Cust_inform'!A:A, 'Cust_inform'!E:E, "NOT FOUND")</f>
        <v>UNEMPLOYED</v>
      </c>
      <c r="E538">
        <f>_xlfn.XLOOKUP(B538, 'Cust_inform'!A:A, 'Cust_inform'!D:D)</f>
        <v>4</v>
      </c>
      <c r="F538" t="str">
        <f>_xlfn.XLOOKUP(E538,Postcodes!A:A, Postcodes!B:B, "NOT FOUND")</f>
        <v>E</v>
      </c>
    </row>
    <row r="539" spans="1:6" x14ac:dyDescent="0.25">
      <c r="A539" s="1">
        <v>41653</v>
      </c>
      <c r="B539">
        <v>18</v>
      </c>
      <c r="C539">
        <v>536</v>
      </c>
      <c r="D539" t="str">
        <f>_xlfn.XLOOKUP(B539, 'Cust_inform'!A:A, 'Cust_inform'!E:E, "NOT FOUND")</f>
        <v>UNEMPLOYED</v>
      </c>
      <c r="E539">
        <f>_xlfn.XLOOKUP(B539, 'Cust_inform'!A:A, 'Cust_inform'!D:D)</f>
        <v>4</v>
      </c>
      <c r="F539" t="str">
        <f>_xlfn.XLOOKUP(E539,Postcodes!A:A, Postcodes!B:B, "NOT FOUND")</f>
        <v>E</v>
      </c>
    </row>
    <row r="540" spans="1:6" x14ac:dyDescent="0.25">
      <c r="A540" s="1">
        <v>41657</v>
      </c>
      <c r="B540">
        <v>18</v>
      </c>
      <c r="C540">
        <v>539</v>
      </c>
      <c r="D540" t="str">
        <f>_xlfn.XLOOKUP(B540, 'Cust_inform'!A:A, 'Cust_inform'!E:E, "NOT FOUND")</f>
        <v>UNEMPLOYED</v>
      </c>
      <c r="E540">
        <f>_xlfn.XLOOKUP(B540, 'Cust_inform'!A:A, 'Cust_inform'!D:D)</f>
        <v>4</v>
      </c>
      <c r="F540" t="str">
        <f>_xlfn.XLOOKUP(E540,Postcodes!A:A, Postcodes!B:B, "NOT FOUND")</f>
        <v>E</v>
      </c>
    </row>
    <row r="541" spans="1:6" x14ac:dyDescent="0.25">
      <c r="A541" s="1">
        <v>41663</v>
      </c>
      <c r="B541">
        <v>18</v>
      </c>
      <c r="C541">
        <v>536</v>
      </c>
      <c r="D541" t="str">
        <f>_xlfn.XLOOKUP(B541, 'Cust_inform'!A:A, 'Cust_inform'!E:E, "NOT FOUND")</f>
        <v>UNEMPLOYED</v>
      </c>
      <c r="E541">
        <f>_xlfn.XLOOKUP(B541, 'Cust_inform'!A:A, 'Cust_inform'!D:D)</f>
        <v>4</v>
      </c>
      <c r="F541" t="str">
        <f>_xlfn.XLOOKUP(E541,Postcodes!A:A, Postcodes!B:B, "NOT FOUND")</f>
        <v>E</v>
      </c>
    </row>
    <row r="542" spans="1:6" x14ac:dyDescent="0.25">
      <c r="A542" s="1">
        <v>41666</v>
      </c>
      <c r="B542">
        <v>18</v>
      </c>
      <c r="C542">
        <v>506</v>
      </c>
      <c r="D542" t="str">
        <f>_xlfn.XLOOKUP(B542, 'Cust_inform'!A:A, 'Cust_inform'!E:E, "NOT FOUND")</f>
        <v>UNEMPLOYED</v>
      </c>
      <c r="E542">
        <f>_xlfn.XLOOKUP(B542, 'Cust_inform'!A:A, 'Cust_inform'!D:D)</f>
        <v>4</v>
      </c>
      <c r="F542" t="str">
        <f>_xlfn.XLOOKUP(E542,Postcodes!A:A, Postcodes!B:B, "NOT FOUND")</f>
        <v>E</v>
      </c>
    </row>
    <row r="543" spans="1:6" x14ac:dyDescent="0.25">
      <c r="A543" s="1">
        <v>41676</v>
      </c>
      <c r="B543">
        <v>18</v>
      </c>
      <c r="C543">
        <v>434</v>
      </c>
      <c r="D543" t="str">
        <f>_xlfn.XLOOKUP(B543, 'Cust_inform'!A:A, 'Cust_inform'!E:E, "NOT FOUND")</f>
        <v>UNEMPLOYED</v>
      </c>
      <c r="E543">
        <f>_xlfn.XLOOKUP(B543, 'Cust_inform'!A:A, 'Cust_inform'!D:D)</f>
        <v>4</v>
      </c>
      <c r="F543" t="str">
        <f>_xlfn.XLOOKUP(E543,Postcodes!A:A, Postcodes!B:B, "NOT FOUND")</f>
        <v>E</v>
      </c>
    </row>
    <row r="544" spans="1:6" x14ac:dyDescent="0.25">
      <c r="A544" s="1">
        <v>41677</v>
      </c>
      <c r="B544">
        <v>18</v>
      </c>
      <c r="C544">
        <v>505</v>
      </c>
      <c r="D544" t="str">
        <f>_xlfn.XLOOKUP(B544, 'Cust_inform'!A:A, 'Cust_inform'!E:E, "NOT FOUND")</f>
        <v>UNEMPLOYED</v>
      </c>
      <c r="E544">
        <f>_xlfn.XLOOKUP(B544, 'Cust_inform'!A:A, 'Cust_inform'!D:D)</f>
        <v>4</v>
      </c>
      <c r="F544" t="str">
        <f>_xlfn.XLOOKUP(E544,Postcodes!A:A, Postcodes!B:B, "NOT FOUND")</f>
        <v>E</v>
      </c>
    </row>
    <row r="545" spans="1:6" x14ac:dyDescent="0.25">
      <c r="A545" s="1">
        <v>41688</v>
      </c>
      <c r="B545">
        <v>18</v>
      </c>
      <c r="C545">
        <v>519</v>
      </c>
      <c r="D545" t="str">
        <f>_xlfn.XLOOKUP(B545, 'Cust_inform'!A:A, 'Cust_inform'!E:E, "NOT FOUND")</f>
        <v>UNEMPLOYED</v>
      </c>
      <c r="E545">
        <f>_xlfn.XLOOKUP(B545, 'Cust_inform'!A:A, 'Cust_inform'!D:D)</f>
        <v>4</v>
      </c>
      <c r="F545" t="str">
        <f>_xlfn.XLOOKUP(E545,Postcodes!A:A, Postcodes!B:B, "NOT FOUND")</f>
        <v>E</v>
      </c>
    </row>
    <row r="546" spans="1:6" x14ac:dyDescent="0.25">
      <c r="A546" s="1">
        <v>41714</v>
      </c>
      <c r="B546">
        <v>18</v>
      </c>
      <c r="C546">
        <v>526</v>
      </c>
      <c r="D546" t="str">
        <f>_xlfn.XLOOKUP(B546, 'Cust_inform'!A:A, 'Cust_inform'!E:E, "NOT FOUND")</f>
        <v>UNEMPLOYED</v>
      </c>
      <c r="E546">
        <f>_xlfn.XLOOKUP(B546, 'Cust_inform'!A:A, 'Cust_inform'!D:D)</f>
        <v>4</v>
      </c>
      <c r="F546" t="str">
        <f>_xlfn.XLOOKUP(E546,Postcodes!A:A, Postcodes!B:B, "NOT FOUND")</f>
        <v>E</v>
      </c>
    </row>
    <row r="547" spans="1:6" x14ac:dyDescent="0.25">
      <c r="A547" s="1">
        <v>41737</v>
      </c>
      <c r="B547">
        <v>18</v>
      </c>
      <c r="C547">
        <v>513</v>
      </c>
      <c r="D547" t="str">
        <f>_xlfn.XLOOKUP(B547, 'Cust_inform'!A:A, 'Cust_inform'!E:E, "NOT FOUND")</f>
        <v>UNEMPLOYED</v>
      </c>
      <c r="E547">
        <f>_xlfn.XLOOKUP(B547, 'Cust_inform'!A:A, 'Cust_inform'!D:D)</f>
        <v>4</v>
      </c>
      <c r="F547" t="str">
        <f>_xlfn.XLOOKUP(E547,Postcodes!A:A, Postcodes!B:B, "NOT FOUND")</f>
        <v>E</v>
      </c>
    </row>
    <row r="548" spans="1:6" x14ac:dyDescent="0.25">
      <c r="A548" s="1">
        <v>41752</v>
      </c>
      <c r="B548">
        <v>18</v>
      </c>
      <c r="C548">
        <v>515</v>
      </c>
      <c r="D548" t="str">
        <f>_xlfn.XLOOKUP(B548, 'Cust_inform'!A:A, 'Cust_inform'!E:E, "NOT FOUND")</f>
        <v>UNEMPLOYED</v>
      </c>
      <c r="E548">
        <f>_xlfn.XLOOKUP(B548, 'Cust_inform'!A:A, 'Cust_inform'!D:D)</f>
        <v>4</v>
      </c>
      <c r="F548" t="str">
        <f>_xlfn.XLOOKUP(E548,Postcodes!A:A, Postcodes!B:B, "NOT FOUND")</f>
        <v>E</v>
      </c>
    </row>
    <row r="549" spans="1:6" x14ac:dyDescent="0.25">
      <c r="A549" s="1">
        <v>41772</v>
      </c>
      <c r="B549">
        <v>18</v>
      </c>
      <c r="C549">
        <v>453</v>
      </c>
      <c r="D549" t="str">
        <f>_xlfn.XLOOKUP(B549, 'Cust_inform'!A:A, 'Cust_inform'!E:E, "NOT FOUND")</f>
        <v>UNEMPLOYED</v>
      </c>
      <c r="E549">
        <f>_xlfn.XLOOKUP(B549, 'Cust_inform'!A:A, 'Cust_inform'!D:D)</f>
        <v>4</v>
      </c>
      <c r="F549" t="str">
        <f>_xlfn.XLOOKUP(E549,Postcodes!A:A, Postcodes!B:B, "NOT FOUND")</f>
        <v>E</v>
      </c>
    </row>
    <row r="550" spans="1:6" x14ac:dyDescent="0.25">
      <c r="A550" s="1">
        <v>41774</v>
      </c>
      <c r="B550">
        <v>18</v>
      </c>
      <c r="C550">
        <v>517</v>
      </c>
      <c r="D550" t="str">
        <f>_xlfn.XLOOKUP(B550, 'Cust_inform'!A:A, 'Cust_inform'!E:E, "NOT FOUND")</f>
        <v>UNEMPLOYED</v>
      </c>
      <c r="E550">
        <f>_xlfn.XLOOKUP(B550, 'Cust_inform'!A:A, 'Cust_inform'!D:D)</f>
        <v>4</v>
      </c>
      <c r="F550" t="str">
        <f>_xlfn.XLOOKUP(E550,Postcodes!A:A, Postcodes!B:B, "NOT FOUND")</f>
        <v>E</v>
      </c>
    </row>
    <row r="551" spans="1:6" x14ac:dyDescent="0.25">
      <c r="A551" s="1">
        <v>41781</v>
      </c>
      <c r="B551">
        <v>18</v>
      </c>
      <c r="C551">
        <v>435</v>
      </c>
      <c r="D551" t="str">
        <f>_xlfn.XLOOKUP(B551, 'Cust_inform'!A:A, 'Cust_inform'!E:E, "NOT FOUND")</f>
        <v>UNEMPLOYED</v>
      </c>
      <c r="E551">
        <f>_xlfn.XLOOKUP(B551, 'Cust_inform'!A:A, 'Cust_inform'!D:D)</f>
        <v>4</v>
      </c>
      <c r="F551" t="str">
        <f>_xlfn.XLOOKUP(E551,Postcodes!A:A, Postcodes!B:B, "NOT FOUND")</f>
        <v>E</v>
      </c>
    </row>
    <row r="552" spans="1:6" x14ac:dyDescent="0.25">
      <c r="A552" s="1">
        <v>41791</v>
      </c>
      <c r="B552">
        <v>18</v>
      </c>
      <c r="C552">
        <v>532</v>
      </c>
      <c r="D552" t="str">
        <f>_xlfn.XLOOKUP(B552, 'Cust_inform'!A:A, 'Cust_inform'!E:E, "NOT FOUND")</f>
        <v>UNEMPLOYED</v>
      </c>
      <c r="E552">
        <f>_xlfn.XLOOKUP(B552, 'Cust_inform'!A:A, 'Cust_inform'!D:D)</f>
        <v>4</v>
      </c>
      <c r="F552" t="str">
        <f>_xlfn.XLOOKUP(E552,Postcodes!A:A, Postcodes!B:B, "NOT FOUND")</f>
        <v>E</v>
      </c>
    </row>
    <row r="553" spans="1:6" x14ac:dyDescent="0.25">
      <c r="A553" s="1">
        <v>41806</v>
      </c>
      <c r="B553">
        <v>18</v>
      </c>
      <c r="C553">
        <v>445</v>
      </c>
      <c r="D553" t="str">
        <f>_xlfn.XLOOKUP(B553, 'Cust_inform'!A:A, 'Cust_inform'!E:E, "NOT FOUND")</f>
        <v>UNEMPLOYED</v>
      </c>
      <c r="E553">
        <f>_xlfn.XLOOKUP(B553, 'Cust_inform'!A:A, 'Cust_inform'!D:D)</f>
        <v>4</v>
      </c>
      <c r="F553" t="str">
        <f>_xlfn.XLOOKUP(E553,Postcodes!A:A, Postcodes!B:B, "NOT FOUND")</f>
        <v>E</v>
      </c>
    </row>
    <row r="554" spans="1:6" x14ac:dyDescent="0.25">
      <c r="A554" s="1">
        <v>41807</v>
      </c>
      <c r="B554">
        <v>18</v>
      </c>
      <c r="C554">
        <v>502</v>
      </c>
      <c r="D554" t="str">
        <f>_xlfn.XLOOKUP(B554, 'Cust_inform'!A:A, 'Cust_inform'!E:E, "NOT FOUND")</f>
        <v>UNEMPLOYED</v>
      </c>
      <c r="E554">
        <f>_xlfn.XLOOKUP(B554, 'Cust_inform'!A:A, 'Cust_inform'!D:D)</f>
        <v>4</v>
      </c>
      <c r="F554" t="str">
        <f>_xlfn.XLOOKUP(E554,Postcodes!A:A, Postcodes!B:B, "NOT FOUND")</f>
        <v>E</v>
      </c>
    </row>
    <row r="555" spans="1:6" x14ac:dyDescent="0.25">
      <c r="A555" s="1">
        <v>41815</v>
      </c>
      <c r="B555">
        <v>18</v>
      </c>
      <c r="C555">
        <v>445</v>
      </c>
      <c r="D555" t="str">
        <f>_xlfn.XLOOKUP(B555, 'Cust_inform'!A:A, 'Cust_inform'!E:E, "NOT FOUND")</f>
        <v>UNEMPLOYED</v>
      </c>
      <c r="E555">
        <f>_xlfn.XLOOKUP(B555, 'Cust_inform'!A:A, 'Cust_inform'!D:D)</f>
        <v>4</v>
      </c>
      <c r="F555" t="str">
        <f>_xlfn.XLOOKUP(E555,Postcodes!A:A, Postcodes!B:B, "NOT FOUND")</f>
        <v>E</v>
      </c>
    </row>
    <row r="556" spans="1:6" x14ac:dyDescent="0.25">
      <c r="A556" s="1">
        <v>41619</v>
      </c>
      <c r="B556">
        <v>19</v>
      </c>
      <c r="C556">
        <v>167</v>
      </c>
      <c r="D556" t="str">
        <f>_xlfn.XLOOKUP(B556, 'Cust_inform'!A:A, 'Cust_inform'!E:E, "NOT FOUND")</f>
        <v>EMPLOYED</v>
      </c>
      <c r="E556">
        <f>_xlfn.XLOOKUP(B556, 'Cust_inform'!A:A, 'Cust_inform'!D:D)</f>
        <v>20</v>
      </c>
      <c r="F556" t="str">
        <f>_xlfn.XLOOKUP(E556,Postcodes!A:A, Postcodes!B:B, "NOT FOUND")</f>
        <v/>
      </c>
    </row>
    <row r="557" spans="1:6" x14ac:dyDescent="0.25">
      <c r="A557" s="1">
        <v>41619</v>
      </c>
      <c r="B557">
        <v>19</v>
      </c>
      <c r="C557">
        <v>172</v>
      </c>
      <c r="D557" t="str">
        <f>_xlfn.XLOOKUP(B557, 'Cust_inform'!A:A, 'Cust_inform'!E:E, "NOT FOUND")</f>
        <v>EMPLOYED</v>
      </c>
      <c r="E557">
        <f>_xlfn.XLOOKUP(B557, 'Cust_inform'!A:A, 'Cust_inform'!D:D)</f>
        <v>20</v>
      </c>
      <c r="F557" t="str">
        <f>_xlfn.XLOOKUP(E557,Postcodes!A:A, Postcodes!B:B, "NOT FOUND")</f>
        <v/>
      </c>
    </row>
    <row r="558" spans="1:6" x14ac:dyDescent="0.25">
      <c r="A558" s="1">
        <v>41619</v>
      </c>
      <c r="B558">
        <v>19</v>
      </c>
      <c r="C558">
        <v>158</v>
      </c>
      <c r="D558" t="str">
        <f>_xlfn.XLOOKUP(B558, 'Cust_inform'!A:A, 'Cust_inform'!E:E, "NOT FOUND")</f>
        <v>EMPLOYED</v>
      </c>
      <c r="E558">
        <f>_xlfn.XLOOKUP(B558, 'Cust_inform'!A:A, 'Cust_inform'!D:D)</f>
        <v>20</v>
      </c>
      <c r="F558" t="str">
        <f>_xlfn.XLOOKUP(E558,Postcodes!A:A, Postcodes!B:B, "NOT FOUND")</f>
        <v/>
      </c>
    </row>
    <row r="559" spans="1:6" x14ac:dyDescent="0.25">
      <c r="A559" s="1">
        <v>41643</v>
      </c>
      <c r="B559">
        <v>19</v>
      </c>
      <c r="C559">
        <v>150</v>
      </c>
      <c r="D559" t="str">
        <f>_xlfn.XLOOKUP(B559, 'Cust_inform'!A:A, 'Cust_inform'!E:E, "NOT FOUND")</f>
        <v>EMPLOYED</v>
      </c>
      <c r="E559">
        <f>_xlfn.XLOOKUP(B559, 'Cust_inform'!A:A, 'Cust_inform'!D:D)</f>
        <v>20</v>
      </c>
      <c r="F559" t="str">
        <f>_xlfn.XLOOKUP(E559,Postcodes!A:A, Postcodes!B:B, "NOT FOUND")</f>
        <v/>
      </c>
    </row>
    <row r="560" spans="1:6" x14ac:dyDescent="0.25">
      <c r="A560" s="1">
        <v>41656</v>
      </c>
      <c r="B560">
        <v>19</v>
      </c>
      <c r="C560">
        <v>176</v>
      </c>
      <c r="D560" t="str">
        <f>_xlfn.XLOOKUP(B560, 'Cust_inform'!A:A, 'Cust_inform'!E:E, "NOT FOUND")</f>
        <v>EMPLOYED</v>
      </c>
      <c r="E560">
        <f>_xlfn.XLOOKUP(B560, 'Cust_inform'!A:A, 'Cust_inform'!D:D)</f>
        <v>20</v>
      </c>
      <c r="F560" t="str">
        <f>_xlfn.XLOOKUP(E560,Postcodes!A:A, Postcodes!B:B, "NOT FOUND")</f>
        <v/>
      </c>
    </row>
    <row r="561" spans="1:6" x14ac:dyDescent="0.25">
      <c r="A561" s="1">
        <v>41664</v>
      </c>
      <c r="B561">
        <v>19</v>
      </c>
      <c r="C561">
        <v>174</v>
      </c>
      <c r="D561" t="str">
        <f>_xlfn.XLOOKUP(B561, 'Cust_inform'!A:A, 'Cust_inform'!E:E, "NOT FOUND")</f>
        <v>EMPLOYED</v>
      </c>
      <c r="E561">
        <f>_xlfn.XLOOKUP(B561, 'Cust_inform'!A:A, 'Cust_inform'!D:D)</f>
        <v>20</v>
      </c>
      <c r="F561" t="str">
        <f>_xlfn.XLOOKUP(E561,Postcodes!A:A, Postcodes!B:B, "NOT FOUND")</f>
        <v/>
      </c>
    </row>
    <row r="562" spans="1:6" x14ac:dyDescent="0.25">
      <c r="A562" s="1">
        <v>41664</v>
      </c>
      <c r="B562">
        <v>19</v>
      </c>
      <c r="C562">
        <v>179</v>
      </c>
      <c r="D562" t="str">
        <f>_xlfn.XLOOKUP(B562, 'Cust_inform'!A:A, 'Cust_inform'!E:E, "NOT FOUND")</f>
        <v>EMPLOYED</v>
      </c>
      <c r="E562">
        <f>_xlfn.XLOOKUP(B562, 'Cust_inform'!A:A, 'Cust_inform'!D:D)</f>
        <v>20</v>
      </c>
      <c r="F562" t="str">
        <f>_xlfn.XLOOKUP(E562,Postcodes!A:A, Postcodes!B:B, "NOT FOUND")</f>
        <v/>
      </c>
    </row>
    <row r="563" spans="1:6" x14ac:dyDescent="0.25">
      <c r="A563" s="1">
        <v>41669</v>
      </c>
      <c r="B563">
        <v>19</v>
      </c>
      <c r="C563">
        <v>165</v>
      </c>
      <c r="D563" t="str">
        <f>_xlfn.XLOOKUP(B563, 'Cust_inform'!A:A, 'Cust_inform'!E:E, "NOT FOUND")</f>
        <v>EMPLOYED</v>
      </c>
      <c r="E563">
        <f>_xlfn.XLOOKUP(B563, 'Cust_inform'!A:A, 'Cust_inform'!D:D)</f>
        <v>20</v>
      </c>
      <c r="F563" t="str">
        <f>_xlfn.XLOOKUP(E563,Postcodes!A:A, Postcodes!B:B, "NOT FOUND")</f>
        <v/>
      </c>
    </row>
    <row r="564" spans="1:6" x14ac:dyDescent="0.25">
      <c r="A564" s="1">
        <v>41677</v>
      </c>
      <c r="B564">
        <v>19</v>
      </c>
      <c r="C564">
        <v>167</v>
      </c>
      <c r="D564" t="str">
        <f>_xlfn.XLOOKUP(B564, 'Cust_inform'!A:A, 'Cust_inform'!E:E, "NOT FOUND")</f>
        <v>EMPLOYED</v>
      </c>
      <c r="E564">
        <f>_xlfn.XLOOKUP(B564, 'Cust_inform'!A:A, 'Cust_inform'!D:D)</f>
        <v>20</v>
      </c>
      <c r="F564" t="str">
        <f>_xlfn.XLOOKUP(E564,Postcodes!A:A, Postcodes!B:B, "NOT FOUND")</f>
        <v/>
      </c>
    </row>
    <row r="565" spans="1:6" x14ac:dyDescent="0.25">
      <c r="A565" s="1">
        <v>41677</v>
      </c>
      <c r="B565">
        <v>19</v>
      </c>
      <c r="C565">
        <v>172</v>
      </c>
      <c r="D565" t="str">
        <f>_xlfn.XLOOKUP(B565, 'Cust_inform'!A:A, 'Cust_inform'!E:E, "NOT FOUND")</f>
        <v>EMPLOYED</v>
      </c>
      <c r="E565">
        <f>_xlfn.XLOOKUP(B565, 'Cust_inform'!A:A, 'Cust_inform'!D:D)</f>
        <v>20</v>
      </c>
      <c r="F565" t="str">
        <f>_xlfn.XLOOKUP(E565,Postcodes!A:A, Postcodes!B:B, "NOT FOUND")</f>
        <v/>
      </c>
    </row>
    <row r="566" spans="1:6" x14ac:dyDescent="0.25">
      <c r="A566" s="1">
        <v>41682</v>
      </c>
      <c r="B566">
        <v>19</v>
      </c>
      <c r="C566">
        <v>147</v>
      </c>
      <c r="D566" t="str">
        <f>_xlfn.XLOOKUP(B566, 'Cust_inform'!A:A, 'Cust_inform'!E:E, "NOT FOUND")</f>
        <v>EMPLOYED</v>
      </c>
      <c r="E566">
        <f>_xlfn.XLOOKUP(B566, 'Cust_inform'!A:A, 'Cust_inform'!D:D)</f>
        <v>20</v>
      </c>
      <c r="F566" t="str">
        <f>_xlfn.XLOOKUP(E566,Postcodes!A:A, Postcodes!B:B, "NOT FOUND")</f>
        <v/>
      </c>
    </row>
    <row r="567" spans="1:6" x14ac:dyDescent="0.25">
      <c r="A567" s="1">
        <v>41683</v>
      </c>
      <c r="B567">
        <v>19</v>
      </c>
      <c r="C567">
        <v>172</v>
      </c>
      <c r="D567" t="str">
        <f>_xlfn.XLOOKUP(B567, 'Cust_inform'!A:A, 'Cust_inform'!E:E, "NOT FOUND")</f>
        <v>EMPLOYED</v>
      </c>
      <c r="E567">
        <f>_xlfn.XLOOKUP(B567, 'Cust_inform'!A:A, 'Cust_inform'!D:D)</f>
        <v>20</v>
      </c>
      <c r="F567" t="str">
        <f>_xlfn.XLOOKUP(E567,Postcodes!A:A, Postcodes!B:B, "NOT FOUND")</f>
        <v/>
      </c>
    </row>
    <row r="568" spans="1:6" x14ac:dyDescent="0.25">
      <c r="A568" s="1">
        <v>41683</v>
      </c>
      <c r="B568">
        <v>19</v>
      </c>
      <c r="C568">
        <v>170</v>
      </c>
      <c r="D568" t="str">
        <f>_xlfn.XLOOKUP(B568, 'Cust_inform'!A:A, 'Cust_inform'!E:E, "NOT FOUND")</f>
        <v>EMPLOYED</v>
      </c>
      <c r="E568">
        <f>_xlfn.XLOOKUP(B568, 'Cust_inform'!A:A, 'Cust_inform'!D:D)</f>
        <v>20</v>
      </c>
      <c r="F568" t="str">
        <f>_xlfn.XLOOKUP(E568,Postcodes!A:A, Postcodes!B:B, "NOT FOUND")</f>
        <v/>
      </c>
    </row>
    <row r="569" spans="1:6" x14ac:dyDescent="0.25">
      <c r="A569" s="1">
        <v>41685</v>
      </c>
      <c r="B569">
        <v>19</v>
      </c>
      <c r="C569">
        <v>144</v>
      </c>
      <c r="D569" t="str">
        <f>_xlfn.XLOOKUP(B569, 'Cust_inform'!A:A, 'Cust_inform'!E:E, "NOT FOUND")</f>
        <v>EMPLOYED</v>
      </c>
      <c r="E569">
        <f>_xlfn.XLOOKUP(B569, 'Cust_inform'!A:A, 'Cust_inform'!D:D)</f>
        <v>20</v>
      </c>
      <c r="F569" t="str">
        <f>_xlfn.XLOOKUP(E569,Postcodes!A:A, Postcodes!B:B, "NOT FOUND")</f>
        <v/>
      </c>
    </row>
    <row r="570" spans="1:6" x14ac:dyDescent="0.25">
      <c r="A570" s="1">
        <v>41700</v>
      </c>
      <c r="B570">
        <v>19</v>
      </c>
      <c r="C570">
        <v>147</v>
      </c>
      <c r="D570" t="str">
        <f>_xlfn.XLOOKUP(B570, 'Cust_inform'!A:A, 'Cust_inform'!E:E, "NOT FOUND")</f>
        <v>EMPLOYED</v>
      </c>
      <c r="E570">
        <f>_xlfn.XLOOKUP(B570, 'Cust_inform'!A:A, 'Cust_inform'!D:D)</f>
        <v>20</v>
      </c>
      <c r="F570" t="str">
        <f>_xlfn.XLOOKUP(E570,Postcodes!A:A, Postcodes!B:B, "NOT FOUND")</f>
        <v/>
      </c>
    </row>
    <row r="571" spans="1:6" x14ac:dyDescent="0.25">
      <c r="A571" s="1">
        <v>41702</v>
      </c>
      <c r="B571">
        <v>19</v>
      </c>
      <c r="C571">
        <v>181</v>
      </c>
      <c r="D571" t="str">
        <f>_xlfn.XLOOKUP(B571, 'Cust_inform'!A:A, 'Cust_inform'!E:E, "NOT FOUND")</f>
        <v>EMPLOYED</v>
      </c>
      <c r="E571">
        <f>_xlfn.XLOOKUP(B571, 'Cust_inform'!A:A, 'Cust_inform'!D:D)</f>
        <v>20</v>
      </c>
      <c r="F571" t="str">
        <f>_xlfn.XLOOKUP(E571,Postcodes!A:A, Postcodes!B:B, "NOT FOUND")</f>
        <v/>
      </c>
    </row>
    <row r="572" spans="1:6" x14ac:dyDescent="0.25">
      <c r="A572" s="1">
        <v>41706</v>
      </c>
      <c r="B572">
        <v>19</v>
      </c>
      <c r="C572">
        <v>173</v>
      </c>
      <c r="D572" t="str">
        <f>_xlfn.XLOOKUP(B572, 'Cust_inform'!A:A, 'Cust_inform'!E:E, "NOT FOUND")</f>
        <v>EMPLOYED</v>
      </c>
      <c r="E572">
        <f>_xlfn.XLOOKUP(B572, 'Cust_inform'!A:A, 'Cust_inform'!D:D)</f>
        <v>20</v>
      </c>
      <c r="F572" t="str">
        <f>_xlfn.XLOOKUP(E572,Postcodes!A:A, Postcodes!B:B, "NOT FOUND")</f>
        <v/>
      </c>
    </row>
    <row r="573" spans="1:6" x14ac:dyDescent="0.25">
      <c r="A573" s="1">
        <v>41706</v>
      </c>
      <c r="B573">
        <v>19</v>
      </c>
      <c r="C573">
        <v>164</v>
      </c>
      <c r="D573" t="str">
        <f>_xlfn.XLOOKUP(B573, 'Cust_inform'!A:A, 'Cust_inform'!E:E, "NOT FOUND")</f>
        <v>EMPLOYED</v>
      </c>
      <c r="E573">
        <f>_xlfn.XLOOKUP(B573, 'Cust_inform'!A:A, 'Cust_inform'!D:D)</f>
        <v>20</v>
      </c>
      <c r="F573" t="str">
        <f>_xlfn.XLOOKUP(E573,Postcodes!A:A, Postcodes!B:B, "NOT FOUND")</f>
        <v/>
      </c>
    </row>
    <row r="574" spans="1:6" x14ac:dyDescent="0.25">
      <c r="A574" s="1">
        <v>41709</v>
      </c>
      <c r="B574">
        <v>19</v>
      </c>
      <c r="C574">
        <v>174</v>
      </c>
      <c r="D574" t="str">
        <f>_xlfn.XLOOKUP(B574, 'Cust_inform'!A:A, 'Cust_inform'!E:E, "NOT FOUND")</f>
        <v>EMPLOYED</v>
      </c>
      <c r="E574">
        <f>_xlfn.XLOOKUP(B574, 'Cust_inform'!A:A, 'Cust_inform'!D:D)</f>
        <v>20</v>
      </c>
      <c r="F574" t="str">
        <f>_xlfn.XLOOKUP(E574,Postcodes!A:A, Postcodes!B:B, "NOT FOUND")</f>
        <v/>
      </c>
    </row>
    <row r="575" spans="1:6" x14ac:dyDescent="0.25">
      <c r="A575" s="1">
        <v>41720</v>
      </c>
      <c r="B575">
        <v>19</v>
      </c>
      <c r="C575">
        <v>152</v>
      </c>
      <c r="D575" t="str">
        <f>_xlfn.XLOOKUP(B575, 'Cust_inform'!A:A, 'Cust_inform'!E:E, "NOT FOUND")</f>
        <v>EMPLOYED</v>
      </c>
      <c r="E575">
        <f>_xlfn.XLOOKUP(B575, 'Cust_inform'!A:A, 'Cust_inform'!D:D)</f>
        <v>20</v>
      </c>
      <c r="F575" t="str">
        <f>_xlfn.XLOOKUP(E575,Postcodes!A:A, Postcodes!B:B, "NOT FOUND")</f>
        <v/>
      </c>
    </row>
    <row r="576" spans="1:6" x14ac:dyDescent="0.25">
      <c r="A576" s="1">
        <v>41729</v>
      </c>
      <c r="B576">
        <v>19</v>
      </c>
      <c r="C576">
        <v>164</v>
      </c>
      <c r="D576" t="str">
        <f>_xlfn.XLOOKUP(B576, 'Cust_inform'!A:A, 'Cust_inform'!E:E, "NOT FOUND")</f>
        <v>EMPLOYED</v>
      </c>
      <c r="E576">
        <f>_xlfn.XLOOKUP(B576, 'Cust_inform'!A:A, 'Cust_inform'!D:D)</f>
        <v>20</v>
      </c>
      <c r="F576" t="str">
        <f>_xlfn.XLOOKUP(E576,Postcodes!A:A, Postcodes!B:B, "NOT FOUND")</f>
        <v/>
      </c>
    </row>
    <row r="577" spans="1:6" x14ac:dyDescent="0.25">
      <c r="A577" s="1">
        <v>41730</v>
      </c>
      <c r="B577">
        <v>19</v>
      </c>
      <c r="C577">
        <v>179</v>
      </c>
      <c r="D577" t="str">
        <f>_xlfn.XLOOKUP(B577, 'Cust_inform'!A:A, 'Cust_inform'!E:E, "NOT FOUND")</f>
        <v>EMPLOYED</v>
      </c>
      <c r="E577">
        <f>_xlfn.XLOOKUP(B577, 'Cust_inform'!A:A, 'Cust_inform'!D:D)</f>
        <v>20</v>
      </c>
      <c r="F577" t="str">
        <f>_xlfn.XLOOKUP(E577,Postcodes!A:A, Postcodes!B:B, "NOT FOUND")</f>
        <v/>
      </c>
    </row>
    <row r="578" spans="1:6" x14ac:dyDescent="0.25">
      <c r="A578" s="1">
        <v>41736</v>
      </c>
      <c r="B578">
        <v>19</v>
      </c>
      <c r="C578">
        <v>159</v>
      </c>
      <c r="D578" t="str">
        <f>_xlfn.XLOOKUP(B578, 'Cust_inform'!A:A, 'Cust_inform'!E:E, "NOT FOUND")</f>
        <v>EMPLOYED</v>
      </c>
      <c r="E578">
        <f>_xlfn.XLOOKUP(B578, 'Cust_inform'!A:A, 'Cust_inform'!D:D)</f>
        <v>20</v>
      </c>
      <c r="F578" t="str">
        <f>_xlfn.XLOOKUP(E578,Postcodes!A:A, Postcodes!B:B, "NOT FOUND")</f>
        <v/>
      </c>
    </row>
    <row r="579" spans="1:6" x14ac:dyDescent="0.25">
      <c r="A579" s="1">
        <v>41738</v>
      </c>
      <c r="B579">
        <v>19</v>
      </c>
      <c r="C579">
        <v>154</v>
      </c>
      <c r="D579" t="str">
        <f>_xlfn.XLOOKUP(B579, 'Cust_inform'!A:A, 'Cust_inform'!E:E, "NOT FOUND")</f>
        <v>EMPLOYED</v>
      </c>
      <c r="E579">
        <f>_xlfn.XLOOKUP(B579, 'Cust_inform'!A:A, 'Cust_inform'!D:D)</f>
        <v>20</v>
      </c>
      <c r="F579" t="str">
        <f>_xlfn.XLOOKUP(E579,Postcodes!A:A, Postcodes!B:B, "NOT FOUND")</f>
        <v/>
      </c>
    </row>
    <row r="580" spans="1:6" x14ac:dyDescent="0.25">
      <c r="A580" s="1">
        <v>41740</v>
      </c>
      <c r="B580">
        <v>19</v>
      </c>
      <c r="C580">
        <v>163</v>
      </c>
      <c r="D580" t="str">
        <f>_xlfn.XLOOKUP(B580, 'Cust_inform'!A:A, 'Cust_inform'!E:E, "NOT FOUND")</f>
        <v>EMPLOYED</v>
      </c>
      <c r="E580">
        <f>_xlfn.XLOOKUP(B580, 'Cust_inform'!A:A, 'Cust_inform'!D:D)</f>
        <v>20</v>
      </c>
      <c r="F580" t="str">
        <f>_xlfn.XLOOKUP(E580,Postcodes!A:A, Postcodes!B:B, "NOT FOUND")</f>
        <v/>
      </c>
    </row>
    <row r="581" spans="1:6" x14ac:dyDescent="0.25">
      <c r="A581" s="1">
        <v>41751</v>
      </c>
      <c r="B581">
        <v>19</v>
      </c>
      <c r="C581">
        <v>184</v>
      </c>
      <c r="D581" t="str">
        <f>_xlfn.XLOOKUP(B581, 'Cust_inform'!A:A, 'Cust_inform'!E:E, "NOT FOUND")</f>
        <v>EMPLOYED</v>
      </c>
      <c r="E581">
        <f>_xlfn.XLOOKUP(B581, 'Cust_inform'!A:A, 'Cust_inform'!D:D)</f>
        <v>20</v>
      </c>
      <c r="F581" t="str">
        <f>_xlfn.XLOOKUP(E581,Postcodes!A:A, Postcodes!B:B, "NOT FOUND")</f>
        <v/>
      </c>
    </row>
    <row r="582" spans="1:6" x14ac:dyDescent="0.25">
      <c r="A582" s="1">
        <v>41759</v>
      </c>
      <c r="B582">
        <v>19</v>
      </c>
      <c r="C582">
        <v>179</v>
      </c>
      <c r="D582" t="str">
        <f>_xlfn.XLOOKUP(B582, 'Cust_inform'!A:A, 'Cust_inform'!E:E, "NOT FOUND")</f>
        <v>EMPLOYED</v>
      </c>
      <c r="E582">
        <f>_xlfn.XLOOKUP(B582, 'Cust_inform'!A:A, 'Cust_inform'!D:D)</f>
        <v>20</v>
      </c>
      <c r="F582" t="str">
        <f>_xlfn.XLOOKUP(E582,Postcodes!A:A, Postcodes!B:B, "NOT FOUND")</f>
        <v/>
      </c>
    </row>
    <row r="583" spans="1:6" x14ac:dyDescent="0.25">
      <c r="A583" s="1">
        <v>41764</v>
      </c>
      <c r="B583">
        <v>19</v>
      </c>
      <c r="C583">
        <v>185</v>
      </c>
      <c r="D583" t="str">
        <f>_xlfn.XLOOKUP(B583, 'Cust_inform'!A:A, 'Cust_inform'!E:E, "NOT FOUND")</f>
        <v>EMPLOYED</v>
      </c>
      <c r="E583">
        <f>_xlfn.XLOOKUP(B583, 'Cust_inform'!A:A, 'Cust_inform'!D:D)</f>
        <v>20</v>
      </c>
      <c r="F583" t="str">
        <f>_xlfn.XLOOKUP(E583,Postcodes!A:A, Postcodes!B:B, "NOT FOUND")</f>
        <v/>
      </c>
    </row>
    <row r="584" spans="1:6" x14ac:dyDescent="0.25">
      <c r="A584" s="1">
        <v>41776</v>
      </c>
      <c r="B584">
        <v>19</v>
      </c>
      <c r="C584">
        <v>160</v>
      </c>
      <c r="D584" t="str">
        <f>_xlfn.XLOOKUP(B584, 'Cust_inform'!A:A, 'Cust_inform'!E:E, "NOT FOUND")</f>
        <v>EMPLOYED</v>
      </c>
      <c r="E584">
        <f>_xlfn.XLOOKUP(B584, 'Cust_inform'!A:A, 'Cust_inform'!D:D)</f>
        <v>20</v>
      </c>
      <c r="F584" t="str">
        <f>_xlfn.XLOOKUP(E584,Postcodes!A:A, Postcodes!B:B, "NOT FOUND")</f>
        <v/>
      </c>
    </row>
    <row r="585" spans="1:6" x14ac:dyDescent="0.25">
      <c r="A585" s="1">
        <v>41780</v>
      </c>
      <c r="B585">
        <v>19</v>
      </c>
      <c r="C585">
        <v>155</v>
      </c>
      <c r="D585" t="str">
        <f>_xlfn.XLOOKUP(B585, 'Cust_inform'!A:A, 'Cust_inform'!E:E, "NOT FOUND")</f>
        <v>EMPLOYED</v>
      </c>
      <c r="E585">
        <f>_xlfn.XLOOKUP(B585, 'Cust_inform'!A:A, 'Cust_inform'!D:D)</f>
        <v>20</v>
      </c>
      <c r="F585" t="str">
        <f>_xlfn.XLOOKUP(E585,Postcodes!A:A, Postcodes!B:B, "NOT FOUND")</f>
        <v/>
      </c>
    </row>
    <row r="586" spans="1:6" x14ac:dyDescent="0.25">
      <c r="A586" s="1">
        <v>41784</v>
      </c>
      <c r="B586">
        <v>19</v>
      </c>
      <c r="C586">
        <v>155</v>
      </c>
      <c r="D586" t="str">
        <f>_xlfn.XLOOKUP(B586, 'Cust_inform'!A:A, 'Cust_inform'!E:E, "NOT FOUND")</f>
        <v>EMPLOYED</v>
      </c>
      <c r="E586">
        <f>_xlfn.XLOOKUP(B586, 'Cust_inform'!A:A, 'Cust_inform'!D:D)</f>
        <v>20</v>
      </c>
      <c r="F586" t="str">
        <f>_xlfn.XLOOKUP(E586,Postcodes!A:A, Postcodes!B:B, "NOT FOUND")</f>
        <v/>
      </c>
    </row>
    <row r="587" spans="1:6" x14ac:dyDescent="0.25">
      <c r="A587" s="1">
        <v>41785</v>
      </c>
      <c r="B587">
        <v>19</v>
      </c>
      <c r="C587">
        <v>168</v>
      </c>
      <c r="D587" t="str">
        <f>_xlfn.XLOOKUP(B587, 'Cust_inform'!A:A, 'Cust_inform'!E:E, "NOT FOUND")</f>
        <v>EMPLOYED</v>
      </c>
      <c r="E587">
        <f>_xlfn.XLOOKUP(B587, 'Cust_inform'!A:A, 'Cust_inform'!D:D)</f>
        <v>20</v>
      </c>
      <c r="F587" t="str">
        <f>_xlfn.XLOOKUP(E587,Postcodes!A:A, Postcodes!B:B, "NOT FOUND")</f>
        <v/>
      </c>
    </row>
    <row r="588" spans="1:6" x14ac:dyDescent="0.25">
      <c r="A588" s="1">
        <v>41787</v>
      </c>
      <c r="B588">
        <v>19</v>
      </c>
      <c r="C588">
        <v>169</v>
      </c>
      <c r="D588" t="str">
        <f>_xlfn.XLOOKUP(B588, 'Cust_inform'!A:A, 'Cust_inform'!E:E, "NOT FOUND")</f>
        <v>EMPLOYED</v>
      </c>
      <c r="E588">
        <f>_xlfn.XLOOKUP(B588, 'Cust_inform'!A:A, 'Cust_inform'!D:D)</f>
        <v>20</v>
      </c>
      <c r="F588" t="str">
        <f>_xlfn.XLOOKUP(E588,Postcodes!A:A, Postcodes!B:B, "NOT FOUND")</f>
        <v/>
      </c>
    </row>
    <row r="589" spans="1:6" x14ac:dyDescent="0.25">
      <c r="A589" s="1">
        <v>41798</v>
      </c>
      <c r="B589">
        <v>19</v>
      </c>
      <c r="C589">
        <v>171</v>
      </c>
      <c r="D589" t="str">
        <f>_xlfn.XLOOKUP(B589, 'Cust_inform'!A:A, 'Cust_inform'!E:E, "NOT FOUND")</f>
        <v>EMPLOYED</v>
      </c>
      <c r="E589">
        <f>_xlfn.XLOOKUP(B589, 'Cust_inform'!A:A, 'Cust_inform'!D:D)</f>
        <v>20</v>
      </c>
      <c r="F589" t="str">
        <f>_xlfn.XLOOKUP(E589,Postcodes!A:A, Postcodes!B:B, "NOT FOUND")</f>
        <v/>
      </c>
    </row>
    <row r="590" spans="1:6" x14ac:dyDescent="0.25">
      <c r="A590" s="1">
        <v>41798</v>
      </c>
      <c r="B590">
        <v>19</v>
      </c>
      <c r="C590">
        <v>152</v>
      </c>
      <c r="D590" t="str">
        <f>_xlfn.XLOOKUP(B590, 'Cust_inform'!A:A, 'Cust_inform'!E:E, "NOT FOUND")</f>
        <v>EMPLOYED</v>
      </c>
      <c r="E590">
        <f>_xlfn.XLOOKUP(B590, 'Cust_inform'!A:A, 'Cust_inform'!D:D)</f>
        <v>20</v>
      </c>
      <c r="F590" t="str">
        <f>_xlfn.XLOOKUP(E590,Postcodes!A:A, Postcodes!B:B, "NOT FOUND")</f>
        <v/>
      </c>
    </row>
    <row r="591" spans="1:6" x14ac:dyDescent="0.25">
      <c r="A591" s="1">
        <v>41799</v>
      </c>
      <c r="B591">
        <v>19</v>
      </c>
      <c r="C591">
        <v>156</v>
      </c>
      <c r="D591" t="str">
        <f>_xlfn.XLOOKUP(B591, 'Cust_inform'!A:A, 'Cust_inform'!E:E, "NOT FOUND")</f>
        <v>EMPLOYED</v>
      </c>
      <c r="E591">
        <f>_xlfn.XLOOKUP(B591, 'Cust_inform'!A:A, 'Cust_inform'!D:D)</f>
        <v>20</v>
      </c>
      <c r="F591" t="str">
        <f>_xlfn.XLOOKUP(E591,Postcodes!A:A, Postcodes!B:B, "NOT FOUND")</f>
        <v/>
      </c>
    </row>
    <row r="592" spans="1:6" x14ac:dyDescent="0.25">
      <c r="A592" s="1">
        <v>41806</v>
      </c>
      <c r="B592">
        <v>19</v>
      </c>
      <c r="C592">
        <v>187</v>
      </c>
      <c r="D592" t="str">
        <f>_xlfn.XLOOKUP(B592, 'Cust_inform'!A:A, 'Cust_inform'!E:E, "NOT FOUND")</f>
        <v>EMPLOYED</v>
      </c>
      <c r="E592">
        <f>_xlfn.XLOOKUP(B592, 'Cust_inform'!A:A, 'Cust_inform'!D:D)</f>
        <v>20</v>
      </c>
      <c r="F592" t="str">
        <f>_xlfn.XLOOKUP(E592,Postcodes!A:A, Postcodes!B:B, "NOT FOUND")</f>
        <v/>
      </c>
    </row>
    <row r="593" spans="1:6" x14ac:dyDescent="0.25">
      <c r="A593" s="1">
        <v>41809</v>
      </c>
      <c r="B593">
        <v>19</v>
      </c>
      <c r="C593">
        <v>165</v>
      </c>
      <c r="D593" t="str">
        <f>_xlfn.XLOOKUP(B593, 'Cust_inform'!A:A, 'Cust_inform'!E:E, "NOT FOUND")</f>
        <v>EMPLOYED</v>
      </c>
      <c r="E593">
        <f>_xlfn.XLOOKUP(B593, 'Cust_inform'!A:A, 'Cust_inform'!D:D)</f>
        <v>20</v>
      </c>
      <c r="F593" t="str">
        <f>_xlfn.XLOOKUP(E593,Postcodes!A:A, Postcodes!B:B, "NOT FOUND")</f>
        <v/>
      </c>
    </row>
    <row r="594" spans="1:6" x14ac:dyDescent="0.25">
      <c r="A594" s="1">
        <v>41626</v>
      </c>
      <c r="B594">
        <v>20</v>
      </c>
      <c r="C594">
        <v>288</v>
      </c>
      <c r="D594" t="str">
        <f>_xlfn.XLOOKUP(B594, 'Cust_inform'!A:A, 'Cust_inform'!E:E, "NOT FOUND")</f>
        <v>EMPLOYED</v>
      </c>
      <c r="E594">
        <f>_xlfn.XLOOKUP(B594, 'Cust_inform'!A:A, 'Cust_inform'!D:D)</f>
        <v>11</v>
      </c>
      <c r="F594" t="str">
        <f>_xlfn.XLOOKUP(E594,Postcodes!A:A, Postcodes!B:B, "NOT FOUND")</f>
        <v>W</v>
      </c>
    </row>
    <row r="595" spans="1:6" x14ac:dyDescent="0.25">
      <c r="A595" s="1">
        <v>41630</v>
      </c>
      <c r="B595">
        <v>20</v>
      </c>
      <c r="C595">
        <v>320</v>
      </c>
      <c r="D595" t="str">
        <f>_xlfn.XLOOKUP(B595, 'Cust_inform'!A:A, 'Cust_inform'!E:E, "NOT FOUND")</f>
        <v>EMPLOYED</v>
      </c>
      <c r="E595">
        <f>_xlfn.XLOOKUP(B595, 'Cust_inform'!A:A, 'Cust_inform'!D:D)</f>
        <v>11</v>
      </c>
      <c r="F595" t="str">
        <f>_xlfn.XLOOKUP(E595,Postcodes!A:A, Postcodes!B:B, "NOT FOUND")</f>
        <v>W</v>
      </c>
    </row>
    <row r="596" spans="1:6" x14ac:dyDescent="0.25">
      <c r="A596" s="1">
        <v>41631</v>
      </c>
      <c r="B596">
        <v>20</v>
      </c>
      <c r="C596">
        <v>342</v>
      </c>
      <c r="D596" t="str">
        <f>_xlfn.XLOOKUP(B596, 'Cust_inform'!A:A, 'Cust_inform'!E:E, "NOT FOUND")</f>
        <v>EMPLOYED</v>
      </c>
      <c r="E596">
        <f>_xlfn.XLOOKUP(B596, 'Cust_inform'!A:A, 'Cust_inform'!D:D)</f>
        <v>11</v>
      </c>
      <c r="F596" t="str">
        <f>_xlfn.XLOOKUP(E596,Postcodes!A:A, Postcodes!B:B, "NOT FOUND")</f>
        <v>W</v>
      </c>
    </row>
    <row r="597" spans="1:6" x14ac:dyDescent="0.25">
      <c r="A597" s="1">
        <v>41647</v>
      </c>
      <c r="B597">
        <v>20</v>
      </c>
      <c r="C597">
        <v>293</v>
      </c>
      <c r="D597" t="str">
        <f>_xlfn.XLOOKUP(B597, 'Cust_inform'!A:A, 'Cust_inform'!E:E, "NOT FOUND")</f>
        <v>EMPLOYED</v>
      </c>
      <c r="E597">
        <f>_xlfn.XLOOKUP(B597, 'Cust_inform'!A:A, 'Cust_inform'!D:D)</f>
        <v>11</v>
      </c>
      <c r="F597" t="str">
        <f>_xlfn.XLOOKUP(E597,Postcodes!A:A, Postcodes!B:B, "NOT FOUND")</f>
        <v>W</v>
      </c>
    </row>
    <row r="598" spans="1:6" x14ac:dyDescent="0.25">
      <c r="A598" s="1">
        <v>41653</v>
      </c>
      <c r="B598">
        <v>20</v>
      </c>
      <c r="C598">
        <v>330</v>
      </c>
      <c r="D598" t="str">
        <f>_xlfn.XLOOKUP(B598, 'Cust_inform'!A:A, 'Cust_inform'!E:E, "NOT FOUND")</f>
        <v>EMPLOYED</v>
      </c>
      <c r="E598">
        <f>_xlfn.XLOOKUP(B598, 'Cust_inform'!A:A, 'Cust_inform'!D:D)</f>
        <v>11</v>
      </c>
      <c r="F598" t="str">
        <f>_xlfn.XLOOKUP(E598,Postcodes!A:A, Postcodes!B:B, "NOT FOUND")</f>
        <v>W</v>
      </c>
    </row>
    <row r="599" spans="1:6" x14ac:dyDescent="0.25">
      <c r="A599" s="1">
        <v>41662</v>
      </c>
      <c r="B599">
        <v>20</v>
      </c>
      <c r="C599">
        <v>297</v>
      </c>
      <c r="D599" t="str">
        <f>_xlfn.XLOOKUP(B599, 'Cust_inform'!A:A, 'Cust_inform'!E:E, "NOT FOUND")</f>
        <v>EMPLOYED</v>
      </c>
      <c r="E599">
        <f>_xlfn.XLOOKUP(B599, 'Cust_inform'!A:A, 'Cust_inform'!D:D)</f>
        <v>11</v>
      </c>
      <c r="F599" t="str">
        <f>_xlfn.XLOOKUP(E599,Postcodes!A:A, Postcodes!B:B, "NOT FOUND")</f>
        <v>W</v>
      </c>
    </row>
    <row r="600" spans="1:6" x14ac:dyDescent="0.25">
      <c r="A600" s="1">
        <v>41662</v>
      </c>
      <c r="B600">
        <v>20</v>
      </c>
      <c r="C600">
        <v>318</v>
      </c>
      <c r="D600" t="str">
        <f>_xlfn.XLOOKUP(B600, 'Cust_inform'!A:A, 'Cust_inform'!E:E, "NOT FOUND")</f>
        <v>EMPLOYED</v>
      </c>
      <c r="E600">
        <f>_xlfn.XLOOKUP(B600, 'Cust_inform'!A:A, 'Cust_inform'!D:D)</f>
        <v>11</v>
      </c>
      <c r="F600" t="str">
        <f>_xlfn.XLOOKUP(E600,Postcodes!A:A, Postcodes!B:B, "NOT FOUND")</f>
        <v>W</v>
      </c>
    </row>
    <row r="601" spans="1:6" x14ac:dyDescent="0.25">
      <c r="A601" s="1">
        <v>41676</v>
      </c>
      <c r="B601">
        <v>20</v>
      </c>
      <c r="C601">
        <v>277</v>
      </c>
      <c r="D601" t="str">
        <f>_xlfn.XLOOKUP(B601, 'Cust_inform'!A:A, 'Cust_inform'!E:E, "NOT FOUND")</f>
        <v>EMPLOYED</v>
      </c>
      <c r="E601">
        <f>_xlfn.XLOOKUP(B601, 'Cust_inform'!A:A, 'Cust_inform'!D:D)</f>
        <v>11</v>
      </c>
      <c r="F601" t="str">
        <f>_xlfn.XLOOKUP(E601,Postcodes!A:A, Postcodes!B:B, "NOT FOUND")</f>
        <v>W</v>
      </c>
    </row>
    <row r="602" spans="1:6" x14ac:dyDescent="0.25">
      <c r="A602" s="1">
        <v>41684</v>
      </c>
      <c r="B602">
        <v>20</v>
      </c>
      <c r="C602">
        <v>323</v>
      </c>
      <c r="D602" t="str">
        <f>_xlfn.XLOOKUP(B602, 'Cust_inform'!A:A, 'Cust_inform'!E:E, "NOT FOUND")</f>
        <v>EMPLOYED</v>
      </c>
      <c r="E602">
        <f>_xlfn.XLOOKUP(B602, 'Cust_inform'!A:A, 'Cust_inform'!D:D)</f>
        <v>11</v>
      </c>
      <c r="F602" t="str">
        <f>_xlfn.XLOOKUP(E602,Postcodes!A:A, Postcodes!B:B, "NOT FOUND")</f>
        <v>W</v>
      </c>
    </row>
    <row r="603" spans="1:6" x14ac:dyDescent="0.25">
      <c r="A603" s="1">
        <v>41700</v>
      </c>
      <c r="B603">
        <v>20</v>
      </c>
      <c r="C603">
        <v>324</v>
      </c>
      <c r="D603" t="str">
        <f>_xlfn.XLOOKUP(B603, 'Cust_inform'!A:A, 'Cust_inform'!E:E, "NOT FOUND")</f>
        <v>EMPLOYED</v>
      </c>
      <c r="E603">
        <f>_xlfn.XLOOKUP(B603, 'Cust_inform'!A:A, 'Cust_inform'!D:D)</f>
        <v>11</v>
      </c>
      <c r="F603" t="str">
        <f>_xlfn.XLOOKUP(E603,Postcodes!A:A, Postcodes!B:B, "NOT FOUND")</f>
        <v>W</v>
      </c>
    </row>
    <row r="604" spans="1:6" x14ac:dyDescent="0.25">
      <c r="A604" s="1">
        <v>41733</v>
      </c>
      <c r="B604">
        <v>20</v>
      </c>
      <c r="C604">
        <v>311</v>
      </c>
      <c r="D604" t="str">
        <f>_xlfn.XLOOKUP(B604, 'Cust_inform'!A:A, 'Cust_inform'!E:E, "NOT FOUND")</f>
        <v>EMPLOYED</v>
      </c>
      <c r="E604">
        <f>_xlfn.XLOOKUP(B604, 'Cust_inform'!A:A, 'Cust_inform'!D:D)</f>
        <v>11</v>
      </c>
      <c r="F604" t="str">
        <f>_xlfn.XLOOKUP(E604,Postcodes!A:A, Postcodes!B:B, "NOT FOUND")</f>
        <v>W</v>
      </c>
    </row>
    <row r="605" spans="1:6" x14ac:dyDescent="0.25">
      <c r="A605" s="1">
        <v>41740</v>
      </c>
      <c r="B605">
        <v>20</v>
      </c>
      <c r="C605">
        <v>278</v>
      </c>
      <c r="D605" t="str">
        <f>_xlfn.XLOOKUP(B605, 'Cust_inform'!A:A, 'Cust_inform'!E:E, "NOT FOUND")</f>
        <v>EMPLOYED</v>
      </c>
      <c r="E605">
        <f>_xlfn.XLOOKUP(B605, 'Cust_inform'!A:A, 'Cust_inform'!D:D)</f>
        <v>11</v>
      </c>
      <c r="F605" t="str">
        <f>_xlfn.XLOOKUP(E605,Postcodes!A:A, Postcodes!B:B, "NOT FOUND")</f>
        <v>W</v>
      </c>
    </row>
    <row r="606" spans="1:6" x14ac:dyDescent="0.25">
      <c r="A606" s="1">
        <v>41745</v>
      </c>
      <c r="B606">
        <v>20</v>
      </c>
      <c r="C606">
        <v>310</v>
      </c>
      <c r="D606" t="str">
        <f>_xlfn.XLOOKUP(B606, 'Cust_inform'!A:A, 'Cust_inform'!E:E, "NOT FOUND")</f>
        <v>EMPLOYED</v>
      </c>
      <c r="E606">
        <f>_xlfn.XLOOKUP(B606, 'Cust_inform'!A:A, 'Cust_inform'!D:D)</f>
        <v>11</v>
      </c>
      <c r="F606" t="str">
        <f>_xlfn.XLOOKUP(E606,Postcodes!A:A, Postcodes!B:B, "NOT FOUND")</f>
        <v>W</v>
      </c>
    </row>
    <row r="607" spans="1:6" x14ac:dyDescent="0.25">
      <c r="A607" s="1">
        <v>41752</v>
      </c>
      <c r="B607">
        <v>20</v>
      </c>
      <c r="C607">
        <v>283</v>
      </c>
      <c r="D607" t="str">
        <f>_xlfn.XLOOKUP(B607, 'Cust_inform'!A:A, 'Cust_inform'!E:E, "NOT FOUND")</f>
        <v>EMPLOYED</v>
      </c>
      <c r="E607">
        <f>_xlfn.XLOOKUP(B607, 'Cust_inform'!A:A, 'Cust_inform'!D:D)</f>
        <v>11</v>
      </c>
      <c r="F607" t="str">
        <f>_xlfn.XLOOKUP(E607,Postcodes!A:A, Postcodes!B:B, "NOT FOUND")</f>
        <v>W</v>
      </c>
    </row>
    <row r="608" spans="1:6" x14ac:dyDescent="0.25">
      <c r="A608" s="1">
        <v>41759</v>
      </c>
      <c r="B608">
        <v>20</v>
      </c>
      <c r="C608">
        <v>326</v>
      </c>
      <c r="D608" t="str">
        <f>_xlfn.XLOOKUP(B608, 'Cust_inform'!A:A, 'Cust_inform'!E:E, "NOT FOUND")</f>
        <v>EMPLOYED</v>
      </c>
      <c r="E608">
        <f>_xlfn.XLOOKUP(B608, 'Cust_inform'!A:A, 'Cust_inform'!D:D)</f>
        <v>11</v>
      </c>
      <c r="F608" t="str">
        <f>_xlfn.XLOOKUP(E608,Postcodes!A:A, Postcodes!B:B, "NOT FOUND")</f>
        <v>W</v>
      </c>
    </row>
    <row r="609" spans="1:6" x14ac:dyDescent="0.25">
      <c r="A609" s="1">
        <v>41774</v>
      </c>
      <c r="B609">
        <v>20</v>
      </c>
      <c r="C609">
        <v>306</v>
      </c>
      <c r="D609" t="str">
        <f>_xlfn.XLOOKUP(B609, 'Cust_inform'!A:A, 'Cust_inform'!E:E, "NOT FOUND")</f>
        <v>EMPLOYED</v>
      </c>
      <c r="E609">
        <f>_xlfn.XLOOKUP(B609, 'Cust_inform'!A:A, 'Cust_inform'!D:D)</f>
        <v>11</v>
      </c>
      <c r="F609" t="str">
        <f>_xlfn.XLOOKUP(E609,Postcodes!A:A, Postcodes!B:B, "NOT FOUND")</f>
        <v>W</v>
      </c>
    </row>
    <row r="610" spans="1:6" x14ac:dyDescent="0.25">
      <c r="A610" s="1">
        <v>41776</v>
      </c>
      <c r="B610">
        <v>20</v>
      </c>
      <c r="C610">
        <v>319</v>
      </c>
      <c r="D610" t="str">
        <f>_xlfn.XLOOKUP(B610, 'Cust_inform'!A:A, 'Cust_inform'!E:E, "NOT FOUND")</f>
        <v>EMPLOYED</v>
      </c>
      <c r="E610">
        <f>_xlfn.XLOOKUP(B610, 'Cust_inform'!A:A, 'Cust_inform'!D:D)</f>
        <v>11</v>
      </c>
      <c r="F610" t="str">
        <f>_xlfn.XLOOKUP(E610,Postcodes!A:A, Postcodes!B:B, "NOT FOUND")</f>
        <v>W</v>
      </c>
    </row>
    <row r="611" spans="1:6" x14ac:dyDescent="0.25">
      <c r="A611" s="1">
        <v>41783</v>
      </c>
      <c r="B611">
        <v>20</v>
      </c>
      <c r="C611">
        <v>299</v>
      </c>
      <c r="D611" t="str">
        <f>_xlfn.XLOOKUP(B611, 'Cust_inform'!A:A, 'Cust_inform'!E:E, "NOT FOUND")</f>
        <v>EMPLOYED</v>
      </c>
      <c r="E611">
        <f>_xlfn.XLOOKUP(B611, 'Cust_inform'!A:A, 'Cust_inform'!D:D)</f>
        <v>11</v>
      </c>
      <c r="F611" t="str">
        <f>_xlfn.XLOOKUP(E611,Postcodes!A:A, Postcodes!B:B, "NOT FOUND")</f>
        <v>W</v>
      </c>
    </row>
    <row r="612" spans="1:6" x14ac:dyDescent="0.25">
      <c r="A612" s="1">
        <v>41788</v>
      </c>
      <c r="B612">
        <v>20</v>
      </c>
      <c r="C612">
        <v>298</v>
      </c>
      <c r="D612" t="str">
        <f>_xlfn.XLOOKUP(B612, 'Cust_inform'!A:A, 'Cust_inform'!E:E, "NOT FOUND")</f>
        <v>EMPLOYED</v>
      </c>
      <c r="E612">
        <f>_xlfn.XLOOKUP(B612, 'Cust_inform'!A:A, 'Cust_inform'!D:D)</f>
        <v>11</v>
      </c>
      <c r="F612" t="str">
        <f>_xlfn.XLOOKUP(E612,Postcodes!A:A, Postcodes!B:B, "NOT FOUND")</f>
        <v>W</v>
      </c>
    </row>
    <row r="613" spans="1:6" x14ac:dyDescent="0.25">
      <c r="A613" s="1">
        <v>41804</v>
      </c>
      <c r="B613">
        <v>20</v>
      </c>
      <c r="C613">
        <v>305</v>
      </c>
      <c r="D613" t="str">
        <f>_xlfn.XLOOKUP(B613, 'Cust_inform'!A:A, 'Cust_inform'!E:E, "NOT FOUND")</f>
        <v>EMPLOYED</v>
      </c>
      <c r="E613">
        <f>_xlfn.XLOOKUP(B613, 'Cust_inform'!A:A, 'Cust_inform'!D:D)</f>
        <v>11</v>
      </c>
      <c r="F613" t="str">
        <f>_xlfn.XLOOKUP(E613,Postcodes!A:A, Postcodes!B:B, "NOT FOUND")</f>
        <v>W</v>
      </c>
    </row>
    <row r="614" spans="1:6" x14ac:dyDescent="0.25">
      <c r="A614" s="1">
        <v>41807</v>
      </c>
      <c r="B614">
        <v>20</v>
      </c>
      <c r="C614">
        <v>290</v>
      </c>
      <c r="D614" t="str">
        <f>_xlfn.XLOOKUP(B614, 'Cust_inform'!A:A, 'Cust_inform'!E:E, "NOT FOUND")</f>
        <v>EMPLOYED</v>
      </c>
      <c r="E614">
        <f>_xlfn.XLOOKUP(B614, 'Cust_inform'!A:A, 'Cust_inform'!D:D)</f>
        <v>11</v>
      </c>
      <c r="F614" t="str">
        <f>_xlfn.XLOOKUP(E614,Postcodes!A:A, Postcodes!B:B, "NOT FOUND")</f>
        <v>W</v>
      </c>
    </row>
    <row r="615" spans="1:6" x14ac:dyDescent="0.25">
      <c r="A615" s="1">
        <v>41815</v>
      </c>
      <c r="B615">
        <v>20</v>
      </c>
      <c r="C615">
        <v>345</v>
      </c>
      <c r="D615" t="str">
        <f>_xlfn.XLOOKUP(B615, 'Cust_inform'!A:A, 'Cust_inform'!E:E, "NOT FOUND")</f>
        <v>EMPLOYED</v>
      </c>
      <c r="E615">
        <f>_xlfn.XLOOKUP(B615, 'Cust_inform'!A:A, 'Cust_inform'!D:D)</f>
        <v>11</v>
      </c>
      <c r="F615" t="str">
        <f>_xlfn.XLOOKUP(E615,Postcodes!A:A, Postcodes!B:B, "NOT FOUND")</f>
        <v>W</v>
      </c>
    </row>
  </sheetData>
  <conditionalFormatting sqref="A2:C615">
    <cfRule type="expression" dxfId="17" priority="2">
      <formula>ISBLANK(A2)</formula>
    </cfRule>
  </conditionalFormatting>
  <conditionalFormatting sqref="F3">
    <cfRule type="expression" dxfId="16" priority="1">
      <formula>BLANK(A2)</formula>
    </cfRule>
  </conditionalFormatting>
  <conditionalFormatting sqref="I3">
    <cfRule type="duplicateValues" dxfId="15" priority="14"/>
  </conditionalFormatting>
  <conditionalFormatting sqref="S16">
    <cfRule type="duplicateValues" dxfId="14" priority="5"/>
    <cfRule type="duplicateValues" dxfId="13" priority="6"/>
  </conditionalFormatting>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F46B5-06E4-4B92-9057-D189D4BA9EDE}">
  <sheetPr codeName="Sheet3"/>
  <dimension ref="A3:G12"/>
  <sheetViews>
    <sheetView workbookViewId="0">
      <selection activeCell="G13" sqref="G13"/>
    </sheetView>
  </sheetViews>
  <sheetFormatPr defaultRowHeight="15" x14ac:dyDescent="0.25"/>
  <cols>
    <col min="1" max="1" width="11.42578125" bestFit="1" customWidth="1"/>
    <col min="2" max="2" width="21.28515625" bestFit="1" customWidth="1"/>
    <col min="3" max="3" width="18.42578125" bestFit="1" customWidth="1"/>
    <col min="4" max="4" width="23" bestFit="1" customWidth="1"/>
    <col min="5" max="5" width="3.85546875" bestFit="1" customWidth="1"/>
    <col min="6" max="7" width="11.42578125" bestFit="1" customWidth="1"/>
    <col min="8" max="300" width="16.140625" bestFit="1" customWidth="1"/>
    <col min="301" max="301" width="11.42578125" bestFit="1" customWidth="1"/>
  </cols>
  <sheetData>
    <row r="3" spans="1:7" x14ac:dyDescent="0.25">
      <c r="A3" s="3" t="s">
        <v>12</v>
      </c>
      <c r="B3" t="s">
        <v>13</v>
      </c>
      <c r="C3" t="s">
        <v>14</v>
      </c>
      <c r="D3" t="s">
        <v>15</v>
      </c>
    </row>
    <row r="4" spans="1:7" x14ac:dyDescent="0.25">
      <c r="A4" t="s">
        <v>2</v>
      </c>
      <c r="B4">
        <v>78.430129069692256</v>
      </c>
      <c r="C4">
        <v>45879</v>
      </c>
      <c r="D4">
        <v>392.12820512820514</v>
      </c>
    </row>
    <row r="5" spans="1:7" x14ac:dyDescent="0.25">
      <c r="A5" t="s">
        <v>6</v>
      </c>
      <c r="B5">
        <v>119.36653062705672</v>
      </c>
      <c r="C5">
        <v>48954</v>
      </c>
      <c r="D5">
        <v>330.77027027027026</v>
      </c>
    </row>
    <row r="6" spans="1:7" x14ac:dyDescent="0.25">
      <c r="A6" t="s">
        <v>4</v>
      </c>
      <c r="B6">
        <v>120.48152216244091</v>
      </c>
      <c r="C6">
        <v>47153</v>
      </c>
      <c r="D6">
        <v>368.3828125</v>
      </c>
    </row>
    <row r="7" spans="1:7" x14ac:dyDescent="0.25">
      <c r="A7" t="s">
        <v>3</v>
      </c>
      <c r="B7">
        <v>98.315225080932706</v>
      </c>
      <c r="C7">
        <v>51116</v>
      </c>
      <c r="D7">
        <v>357.45454545454544</v>
      </c>
    </row>
    <row r="8" spans="1:7" x14ac:dyDescent="0.25">
      <c r="A8" t="s">
        <v>16</v>
      </c>
      <c r="B8">
        <v>108.35406120932967</v>
      </c>
      <c r="C8">
        <v>193102</v>
      </c>
      <c r="D8">
        <v>360.2649253731343</v>
      </c>
    </row>
    <row r="12" spans="1:7" x14ac:dyDescent="0.25">
      <c r="G12" t="s">
        <v>17</v>
      </c>
    </row>
  </sheetData>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BDE39-B871-4712-A41E-8076EC54D10A}">
  <sheetPr codeName="Sheet9"/>
  <dimension ref="A1:H615"/>
  <sheetViews>
    <sheetView tabSelected="1" topLeftCell="A2" workbookViewId="0">
      <selection activeCell="A2" sqref="A2:H615"/>
    </sheetView>
  </sheetViews>
  <sheetFormatPr defaultRowHeight="15" x14ac:dyDescent="0.25"/>
  <cols>
    <col min="1" max="1" width="13.85546875" style="1" customWidth="1"/>
    <col min="3" max="3" width="12.42578125" customWidth="1"/>
    <col min="4" max="4" width="15.28515625" customWidth="1"/>
    <col min="5" max="5" width="13.42578125" customWidth="1"/>
    <col min="6" max="6" width="10.28515625" customWidth="1"/>
    <col min="7" max="7" width="25.7109375" style="4" customWidth="1"/>
    <col min="8" max="8" width="18.5703125" style="4" customWidth="1"/>
  </cols>
  <sheetData>
    <row r="1" spans="1:8" x14ac:dyDescent="0.25">
      <c r="A1" s="1" t="s">
        <v>7</v>
      </c>
      <c r="B1" t="s">
        <v>8</v>
      </c>
      <c r="C1" t="s">
        <v>9</v>
      </c>
      <c r="D1" t="s">
        <v>10</v>
      </c>
      <c r="E1" t="s">
        <v>11</v>
      </c>
      <c r="F1" t="s">
        <v>12</v>
      </c>
      <c r="G1" s="4" t="s">
        <v>18</v>
      </c>
      <c r="H1" s="4" t="s">
        <v>19</v>
      </c>
    </row>
    <row r="2" spans="1:8" x14ac:dyDescent="0.25">
      <c r="A2" s="1">
        <v>41618</v>
      </c>
      <c r="B2">
        <v>1</v>
      </c>
      <c r="C2">
        <v>213</v>
      </c>
      <c r="D2" t="s">
        <v>20</v>
      </c>
      <c r="E2">
        <v>18</v>
      </c>
      <c r="F2" t="s">
        <v>4</v>
      </c>
      <c r="G2" s="4">
        <f>IF(MASTER_TABLE[[#This Row],[EMPLOYMENT]]="EMPLOYED", MASTER_TABLE[[#This Row],[actual order]],NA())</f>
        <v>213</v>
      </c>
      <c r="H2" s="4" t="e">
        <f>IF(MASTER_TABLE[[#This Row],[EMPLOYMENT]]="UNEMPLOYED", MASTER_TABLE[[#This Row],[actual order]], NA())</f>
        <v>#N/A</v>
      </c>
    </row>
    <row r="3" spans="1:8" x14ac:dyDescent="0.25">
      <c r="A3" s="1">
        <v>41623</v>
      </c>
      <c r="B3">
        <v>1</v>
      </c>
      <c r="C3">
        <v>241</v>
      </c>
      <c r="D3" t="s">
        <v>20</v>
      </c>
      <c r="E3">
        <v>18</v>
      </c>
      <c r="F3" t="s">
        <v>4</v>
      </c>
      <c r="G3" s="4">
        <f>IF(MASTER_TABLE[[#This Row],[EMPLOYMENT]]="EMPLOYED", MASTER_TABLE[[#This Row],[actual order]],NA())</f>
        <v>241</v>
      </c>
      <c r="H3" s="4" t="e">
        <f>IF(MASTER_TABLE[[#This Row],[EMPLOYMENT]]="UNEMPLOYED", MASTER_TABLE[[#This Row],[actual order]], NA())</f>
        <v>#N/A</v>
      </c>
    </row>
    <row r="4" spans="1:8" x14ac:dyDescent="0.25">
      <c r="A4" s="1">
        <v>41631</v>
      </c>
      <c r="B4">
        <v>1</v>
      </c>
      <c r="C4">
        <v>213</v>
      </c>
      <c r="D4" t="s">
        <v>20</v>
      </c>
      <c r="E4">
        <v>18</v>
      </c>
      <c r="F4" t="s">
        <v>4</v>
      </c>
      <c r="G4" s="4">
        <f>IF(MASTER_TABLE[[#This Row],[EMPLOYMENT]]="EMPLOYED", MASTER_TABLE[[#This Row],[actual order]],NA())</f>
        <v>213</v>
      </c>
      <c r="H4" s="4" t="e">
        <f>IF(MASTER_TABLE[[#This Row],[EMPLOYMENT]]="UNEMPLOYED", MASTER_TABLE[[#This Row],[actual order]], NA())</f>
        <v>#N/A</v>
      </c>
    </row>
    <row r="5" spans="1:8" x14ac:dyDescent="0.25">
      <c r="A5" s="1">
        <v>41632</v>
      </c>
      <c r="B5">
        <v>1</v>
      </c>
      <c r="C5">
        <v>224</v>
      </c>
      <c r="D5" t="s">
        <v>20</v>
      </c>
      <c r="E5">
        <v>18</v>
      </c>
      <c r="F5" t="s">
        <v>4</v>
      </c>
      <c r="G5" s="4">
        <f>IF(MASTER_TABLE[[#This Row],[EMPLOYMENT]]="EMPLOYED", MASTER_TABLE[[#This Row],[actual order]],NA())</f>
        <v>224</v>
      </c>
      <c r="H5" s="4" t="e">
        <f>IF(MASTER_TABLE[[#This Row],[EMPLOYMENT]]="UNEMPLOYED", MASTER_TABLE[[#This Row],[actual order]], NA())</f>
        <v>#N/A</v>
      </c>
    </row>
    <row r="6" spans="1:8" x14ac:dyDescent="0.25">
      <c r="A6" s="1">
        <v>41646</v>
      </c>
      <c r="B6">
        <v>1</v>
      </c>
      <c r="C6">
        <v>242</v>
      </c>
      <c r="D6" t="s">
        <v>20</v>
      </c>
      <c r="E6">
        <v>18</v>
      </c>
      <c r="F6" t="s">
        <v>4</v>
      </c>
      <c r="G6" s="4">
        <f>IF(MASTER_TABLE[[#This Row],[EMPLOYMENT]]="EMPLOYED", MASTER_TABLE[[#This Row],[actual order]],NA())</f>
        <v>242</v>
      </c>
      <c r="H6" s="4" t="e">
        <f>IF(MASTER_TABLE[[#This Row],[EMPLOYMENT]]="UNEMPLOYED", MASTER_TABLE[[#This Row],[actual order]], NA())</f>
        <v>#N/A</v>
      </c>
    </row>
    <row r="7" spans="1:8" x14ac:dyDescent="0.25">
      <c r="A7" s="1">
        <v>41647</v>
      </c>
      <c r="B7">
        <v>1</v>
      </c>
      <c r="C7">
        <v>237</v>
      </c>
      <c r="D7" t="s">
        <v>20</v>
      </c>
      <c r="E7">
        <v>18</v>
      </c>
      <c r="F7" t="s">
        <v>4</v>
      </c>
      <c r="G7" s="4">
        <f>IF(MASTER_TABLE[[#This Row],[EMPLOYMENT]]="EMPLOYED", MASTER_TABLE[[#This Row],[actual order]],NA())</f>
        <v>237</v>
      </c>
      <c r="H7" s="4" t="e">
        <f>IF(MASTER_TABLE[[#This Row],[EMPLOYMENT]]="UNEMPLOYED", MASTER_TABLE[[#This Row],[actual order]], NA())</f>
        <v>#N/A</v>
      </c>
    </row>
    <row r="8" spans="1:8" x14ac:dyDescent="0.25">
      <c r="A8" s="1">
        <v>41657</v>
      </c>
      <c r="B8">
        <v>1</v>
      </c>
      <c r="C8">
        <v>232</v>
      </c>
      <c r="D8" t="s">
        <v>20</v>
      </c>
      <c r="E8">
        <v>18</v>
      </c>
      <c r="F8" t="s">
        <v>4</v>
      </c>
      <c r="G8" s="4">
        <f>IF(MASTER_TABLE[[#This Row],[EMPLOYMENT]]="EMPLOYED", MASTER_TABLE[[#This Row],[actual order]],NA())</f>
        <v>232</v>
      </c>
      <c r="H8" s="4" t="e">
        <f>IF(MASTER_TABLE[[#This Row],[EMPLOYMENT]]="UNEMPLOYED", MASTER_TABLE[[#This Row],[actual order]], NA())</f>
        <v>#N/A</v>
      </c>
    </row>
    <row r="9" spans="1:8" x14ac:dyDescent="0.25">
      <c r="A9" s="1">
        <v>41658</v>
      </c>
      <c r="B9">
        <v>1</v>
      </c>
      <c r="C9">
        <v>225</v>
      </c>
      <c r="D9" t="s">
        <v>20</v>
      </c>
      <c r="E9">
        <v>18</v>
      </c>
      <c r="F9" t="s">
        <v>4</v>
      </c>
      <c r="G9" s="4">
        <f>IF(MASTER_TABLE[[#This Row],[EMPLOYMENT]]="EMPLOYED", MASTER_TABLE[[#This Row],[actual order]],NA())</f>
        <v>225</v>
      </c>
      <c r="H9" s="4" t="e">
        <f>IF(MASTER_TABLE[[#This Row],[EMPLOYMENT]]="UNEMPLOYED", MASTER_TABLE[[#This Row],[actual order]], NA())</f>
        <v>#N/A</v>
      </c>
    </row>
    <row r="10" spans="1:8" x14ac:dyDescent="0.25">
      <c r="A10" s="1">
        <v>41658</v>
      </c>
      <c r="B10">
        <v>1</v>
      </c>
      <c r="C10">
        <v>227</v>
      </c>
      <c r="D10" t="s">
        <v>20</v>
      </c>
      <c r="E10">
        <v>18</v>
      </c>
      <c r="F10" t="s">
        <v>4</v>
      </c>
      <c r="G10" s="4">
        <f>IF(MASTER_TABLE[[#This Row],[EMPLOYMENT]]="EMPLOYED", MASTER_TABLE[[#This Row],[actual order]],NA())</f>
        <v>227</v>
      </c>
      <c r="H10" s="4" t="e">
        <f>IF(MASTER_TABLE[[#This Row],[EMPLOYMENT]]="UNEMPLOYED", MASTER_TABLE[[#This Row],[actual order]], NA())</f>
        <v>#N/A</v>
      </c>
    </row>
    <row r="11" spans="1:8" x14ac:dyDescent="0.25">
      <c r="A11" s="1">
        <v>41660</v>
      </c>
      <c r="B11">
        <v>1</v>
      </c>
      <c r="C11">
        <v>217</v>
      </c>
      <c r="D11" t="s">
        <v>20</v>
      </c>
      <c r="E11">
        <v>18</v>
      </c>
      <c r="F11" t="s">
        <v>4</v>
      </c>
      <c r="G11" s="4">
        <f>IF(MASTER_TABLE[[#This Row],[EMPLOYMENT]]="EMPLOYED", MASTER_TABLE[[#This Row],[actual order]],NA())</f>
        <v>217</v>
      </c>
      <c r="H11" s="4" t="e">
        <f>IF(MASTER_TABLE[[#This Row],[EMPLOYMENT]]="UNEMPLOYED", MASTER_TABLE[[#This Row],[actual order]], NA())</f>
        <v>#N/A</v>
      </c>
    </row>
    <row r="12" spans="1:8" x14ac:dyDescent="0.25">
      <c r="A12" s="1">
        <v>41662</v>
      </c>
      <c r="B12">
        <v>1</v>
      </c>
      <c r="C12">
        <v>205</v>
      </c>
      <c r="D12" t="s">
        <v>20</v>
      </c>
      <c r="E12">
        <v>18</v>
      </c>
      <c r="F12" t="s">
        <v>4</v>
      </c>
      <c r="G12" s="4">
        <f>IF(MASTER_TABLE[[#This Row],[EMPLOYMENT]]="EMPLOYED", MASTER_TABLE[[#This Row],[actual order]],NA())</f>
        <v>205</v>
      </c>
      <c r="H12" s="4" t="e">
        <f>IF(MASTER_TABLE[[#This Row],[EMPLOYMENT]]="UNEMPLOYED", MASTER_TABLE[[#This Row],[actual order]], NA())</f>
        <v>#N/A</v>
      </c>
    </row>
    <row r="13" spans="1:8" x14ac:dyDescent="0.25">
      <c r="A13" s="1">
        <v>41670</v>
      </c>
      <c r="B13">
        <v>1</v>
      </c>
      <c r="C13">
        <v>204</v>
      </c>
      <c r="D13" t="s">
        <v>20</v>
      </c>
      <c r="E13">
        <v>18</v>
      </c>
      <c r="F13" t="s">
        <v>4</v>
      </c>
      <c r="G13" s="4">
        <f>IF(MASTER_TABLE[[#This Row],[EMPLOYMENT]]="EMPLOYED", MASTER_TABLE[[#This Row],[actual order]],NA())</f>
        <v>204</v>
      </c>
      <c r="H13" s="4" t="e">
        <f>IF(MASTER_TABLE[[#This Row],[EMPLOYMENT]]="UNEMPLOYED", MASTER_TABLE[[#This Row],[actual order]], NA())</f>
        <v>#N/A</v>
      </c>
    </row>
    <row r="14" spans="1:8" x14ac:dyDescent="0.25">
      <c r="A14" s="1">
        <v>41672</v>
      </c>
      <c r="B14">
        <v>1</v>
      </c>
      <c r="C14">
        <v>228</v>
      </c>
      <c r="D14" t="s">
        <v>20</v>
      </c>
      <c r="E14">
        <v>18</v>
      </c>
      <c r="F14" t="s">
        <v>4</v>
      </c>
      <c r="G14" s="4">
        <f>IF(MASTER_TABLE[[#This Row],[EMPLOYMENT]]="EMPLOYED", MASTER_TABLE[[#This Row],[actual order]],NA())</f>
        <v>228</v>
      </c>
      <c r="H14" s="4" t="e">
        <f>IF(MASTER_TABLE[[#This Row],[EMPLOYMENT]]="UNEMPLOYED", MASTER_TABLE[[#This Row],[actual order]], NA())</f>
        <v>#N/A</v>
      </c>
    </row>
    <row r="15" spans="1:8" x14ac:dyDescent="0.25">
      <c r="A15" s="1">
        <v>41677</v>
      </c>
      <c r="B15">
        <v>1</v>
      </c>
      <c r="C15">
        <v>219</v>
      </c>
      <c r="D15" t="s">
        <v>20</v>
      </c>
      <c r="E15">
        <v>18</v>
      </c>
      <c r="F15" t="s">
        <v>4</v>
      </c>
      <c r="G15" s="4">
        <f>IF(MASTER_TABLE[[#This Row],[EMPLOYMENT]]="EMPLOYED", MASTER_TABLE[[#This Row],[actual order]],NA())</f>
        <v>219</v>
      </c>
      <c r="H15" s="4" t="e">
        <f>IF(MASTER_TABLE[[#This Row],[EMPLOYMENT]]="UNEMPLOYED", MASTER_TABLE[[#This Row],[actual order]], NA())</f>
        <v>#N/A</v>
      </c>
    </row>
    <row r="16" spans="1:8" x14ac:dyDescent="0.25">
      <c r="A16" s="1">
        <v>41681</v>
      </c>
      <c r="B16">
        <v>1</v>
      </c>
      <c r="C16">
        <v>206</v>
      </c>
      <c r="D16" t="s">
        <v>20</v>
      </c>
      <c r="E16">
        <v>18</v>
      </c>
      <c r="F16" t="s">
        <v>4</v>
      </c>
      <c r="G16" s="4">
        <f>IF(MASTER_TABLE[[#This Row],[EMPLOYMENT]]="EMPLOYED", MASTER_TABLE[[#This Row],[actual order]],NA())</f>
        <v>206</v>
      </c>
      <c r="H16" s="4" t="e">
        <f>IF(MASTER_TABLE[[#This Row],[EMPLOYMENT]]="UNEMPLOYED", MASTER_TABLE[[#This Row],[actual order]], NA())</f>
        <v>#N/A</v>
      </c>
    </row>
    <row r="17" spans="1:8" x14ac:dyDescent="0.25">
      <c r="A17" s="1">
        <v>41688</v>
      </c>
      <c r="B17">
        <v>1</v>
      </c>
      <c r="C17">
        <v>253</v>
      </c>
      <c r="D17" t="s">
        <v>20</v>
      </c>
      <c r="E17">
        <v>18</v>
      </c>
      <c r="F17" t="s">
        <v>4</v>
      </c>
      <c r="G17" s="4">
        <f>IF(MASTER_TABLE[[#This Row],[EMPLOYMENT]]="EMPLOYED", MASTER_TABLE[[#This Row],[actual order]],NA())</f>
        <v>253</v>
      </c>
      <c r="H17" s="4" t="e">
        <f>IF(MASTER_TABLE[[#This Row],[EMPLOYMENT]]="UNEMPLOYED", MASTER_TABLE[[#This Row],[actual order]], NA())</f>
        <v>#N/A</v>
      </c>
    </row>
    <row r="18" spans="1:8" x14ac:dyDescent="0.25">
      <c r="A18" s="1">
        <v>41688</v>
      </c>
      <c r="B18">
        <v>1</v>
      </c>
      <c r="C18">
        <v>221</v>
      </c>
      <c r="D18" t="s">
        <v>20</v>
      </c>
      <c r="E18">
        <v>18</v>
      </c>
      <c r="F18" t="s">
        <v>4</v>
      </c>
      <c r="G18" s="4">
        <f>IF(MASTER_TABLE[[#This Row],[EMPLOYMENT]]="EMPLOYED", MASTER_TABLE[[#This Row],[actual order]],NA())</f>
        <v>221</v>
      </c>
      <c r="H18" s="4" t="e">
        <f>IF(MASTER_TABLE[[#This Row],[EMPLOYMENT]]="UNEMPLOYED", MASTER_TABLE[[#This Row],[actual order]], NA())</f>
        <v>#N/A</v>
      </c>
    </row>
    <row r="19" spans="1:8" x14ac:dyDescent="0.25">
      <c r="A19" s="1">
        <v>41690</v>
      </c>
      <c r="B19">
        <v>1</v>
      </c>
      <c r="C19">
        <v>240</v>
      </c>
      <c r="D19" t="s">
        <v>20</v>
      </c>
      <c r="E19">
        <v>18</v>
      </c>
      <c r="F19" t="s">
        <v>4</v>
      </c>
      <c r="G19" s="4">
        <f>IF(MASTER_TABLE[[#This Row],[EMPLOYMENT]]="EMPLOYED", MASTER_TABLE[[#This Row],[actual order]],NA())</f>
        <v>240</v>
      </c>
      <c r="H19" s="4" t="e">
        <f>IF(MASTER_TABLE[[#This Row],[EMPLOYMENT]]="UNEMPLOYED", MASTER_TABLE[[#This Row],[actual order]], NA())</f>
        <v>#N/A</v>
      </c>
    </row>
    <row r="20" spans="1:8" x14ac:dyDescent="0.25">
      <c r="A20" s="1">
        <v>41698</v>
      </c>
      <c r="B20">
        <v>1</v>
      </c>
      <c r="C20">
        <v>232</v>
      </c>
      <c r="D20" t="s">
        <v>20</v>
      </c>
      <c r="E20">
        <v>18</v>
      </c>
      <c r="F20" t="s">
        <v>4</v>
      </c>
      <c r="G20" s="4">
        <f>IF(MASTER_TABLE[[#This Row],[EMPLOYMENT]]="EMPLOYED", MASTER_TABLE[[#This Row],[actual order]],NA())</f>
        <v>232</v>
      </c>
      <c r="H20" s="4" t="e">
        <f>IF(MASTER_TABLE[[#This Row],[EMPLOYMENT]]="UNEMPLOYED", MASTER_TABLE[[#This Row],[actual order]], NA())</f>
        <v>#N/A</v>
      </c>
    </row>
    <row r="21" spans="1:8" x14ac:dyDescent="0.25">
      <c r="A21" s="1">
        <v>41701</v>
      </c>
      <c r="B21">
        <v>1</v>
      </c>
      <c r="C21">
        <v>227</v>
      </c>
      <c r="D21" t="s">
        <v>20</v>
      </c>
      <c r="E21">
        <v>18</v>
      </c>
      <c r="F21" t="s">
        <v>4</v>
      </c>
      <c r="G21" s="4">
        <f>IF(MASTER_TABLE[[#This Row],[EMPLOYMENT]]="EMPLOYED", MASTER_TABLE[[#This Row],[actual order]],NA())</f>
        <v>227</v>
      </c>
      <c r="H21" s="4" t="e">
        <f>IF(MASTER_TABLE[[#This Row],[EMPLOYMENT]]="UNEMPLOYED", MASTER_TABLE[[#This Row],[actual order]], NA())</f>
        <v>#N/A</v>
      </c>
    </row>
    <row r="22" spans="1:8" x14ac:dyDescent="0.25">
      <c r="A22" s="1">
        <v>41701</v>
      </c>
      <c r="B22">
        <v>1</v>
      </c>
      <c r="C22">
        <v>238</v>
      </c>
      <c r="D22" t="s">
        <v>20</v>
      </c>
      <c r="E22">
        <v>18</v>
      </c>
      <c r="F22" t="s">
        <v>4</v>
      </c>
      <c r="G22" s="4">
        <f>IF(MASTER_TABLE[[#This Row],[EMPLOYMENT]]="EMPLOYED", MASTER_TABLE[[#This Row],[actual order]],NA())</f>
        <v>238</v>
      </c>
      <c r="H22" s="4" t="e">
        <f>IF(MASTER_TABLE[[#This Row],[EMPLOYMENT]]="UNEMPLOYED", MASTER_TABLE[[#This Row],[actual order]], NA())</f>
        <v>#N/A</v>
      </c>
    </row>
    <row r="23" spans="1:8" x14ac:dyDescent="0.25">
      <c r="A23" s="1">
        <v>41703</v>
      </c>
      <c r="B23">
        <v>1</v>
      </c>
      <c r="C23">
        <v>200</v>
      </c>
      <c r="D23" t="s">
        <v>20</v>
      </c>
      <c r="E23">
        <v>18</v>
      </c>
      <c r="F23" t="s">
        <v>4</v>
      </c>
      <c r="G23" s="4">
        <f>IF(MASTER_TABLE[[#This Row],[EMPLOYMENT]]="EMPLOYED", MASTER_TABLE[[#This Row],[actual order]],NA())</f>
        <v>200</v>
      </c>
      <c r="H23" s="4" t="e">
        <f>IF(MASTER_TABLE[[#This Row],[EMPLOYMENT]]="UNEMPLOYED", MASTER_TABLE[[#This Row],[actual order]], NA())</f>
        <v>#N/A</v>
      </c>
    </row>
    <row r="24" spans="1:8" x14ac:dyDescent="0.25">
      <c r="A24" s="1">
        <v>41707</v>
      </c>
      <c r="B24">
        <v>1</v>
      </c>
      <c r="C24">
        <v>203</v>
      </c>
      <c r="D24" t="s">
        <v>20</v>
      </c>
      <c r="E24">
        <v>18</v>
      </c>
      <c r="F24" t="s">
        <v>4</v>
      </c>
      <c r="G24" s="4">
        <f>IF(MASTER_TABLE[[#This Row],[EMPLOYMENT]]="EMPLOYED", MASTER_TABLE[[#This Row],[actual order]],NA())</f>
        <v>203</v>
      </c>
      <c r="H24" s="4" t="e">
        <f>IF(MASTER_TABLE[[#This Row],[EMPLOYMENT]]="UNEMPLOYED", MASTER_TABLE[[#This Row],[actual order]], NA())</f>
        <v>#N/A</v>
      </c>
    </row>
    <row r="25" spans="1:8" x14ac:dyDescent="0.25">
      <c r="A25" s="1">
        <v>41714</v>
      </c>
      <c r="B25">
        <v>1</v>
      </c>
      <c r="C25">
        <v>208</v>
      </c>
      <c r="D25" t="s">
        <v>20</v>
      </c>
      <c r="E25">
        <v>18</v>
      </c>
      <c r="F25" t="s">
        <v>4</v>
      </c>
      <c r="G25" s="4">
        <f>IF(MASTER_TABLE[[#This Row],[EMPLOYMENT]]="EMPLOYED", MASTER_TABLE[[#This Row],[actual order]],NA())</f>
        <v>208</v>
      </c>
      <c r="H25" s="4" t="e">
        <f>IF(MASTER_TABLE[[#This Row],[EMPLOYMENT]]="UNEMPLOYED", MASTER_TABLE[[#This Row],[actual order]], NA())</f>
        <v>#N/A</v>
      </c>
    </row>
    <row r="26" spans="1:8" x14ac:dyDescent="0.25">
      <c r="A26" s="1">
        <v>41716</v>
      </c>
      <c r="B26">
        <v>1</v>
      </c>
      <c r="C26">
        <v>222</v>
      </c>
      <c r="D26" t="s">
        <v>20</v>
      </c>
      <c r="E26">
        <v>18</v>
      </c>
      <c r="F26" t="s">
        <v>4</v>
      </c>
      <c r="G26" s="4">
        <f>IF(MASTER_TABLE[[#This Row],[EMPLOYMENT]]="EMPLOYED", MASTER_TABLE[[#This Row],[actual order]],NA())</f>
        <v>222</v>
      </c>
      <c r="H26" s="4" t="e">
        <f>IF(MASTER_TABLE[[#This Row],[EMPLOYMENT]]="UNEMPLOYED", MASTER_TABLE[[#This Row],[actual order]], NA())</f>
        <v>#N/A</v>
      </c>
    </row>
    <row r="27" spans="1:8" x14ac:dyDescent="0.25">
      <c r="A27" s="1">
        <v>41716</v>
      </c>
      <c r="B27">
        <v>1</v>
      </c>
      <c r="C27">
        <v>208</v>
      </c>
      <c r="D27" t="s">
        <v>20</v>
      </c>
      <c r="E27">
        <v>18</v>
      </c>
      <c r="F27" t="s">
        <v>4</v>
      </c>
      <c r="G27" s="4">
        <f>IF(MASTER_TABLE[[#This Row],[EMPLOYMENT]]="EMPLOYED", MASTER_TABLE[[#This Row],[actual order]],NA())</f>
        <v>208</v>
      </c>
      <c r="H27" s="4" t="e">
        <f>IF(MASTER_TABLE[[#This Row],[EMPLOYMENT]]="UNEMPLOYED", MASTER_TABLE[[#This Row],[actual order]], NA())</f>
        <v>#N/A</v>
      </c>
    </row>
    <row r="28" spans="1:8" x14ac:dyDescent="0.25">
      <c r="A28" s="1">
        <v>41720</v>
      </c>
      <c r="B28">
        <v>1</v>
      </c>
      <c r="C28">
        <v>199</v>
      </c>
      <c r="D28" t="s">
        <v>20</v>
      </c>
      <c r="E28">
        <v>18</v>
      </c>
      <c r="F28" t="s">
        <v>4</v>
      </c>
      <c r="G28" s="4">
        <f>IF(MASTER_TABLE[[#This Row],[EMPLOYMENT]]="EMPLOYED", MASTER_TABLE[[#This Row],[actual order]],NA())</f>
        <v>199</v>
      </c>
      <c r="H28" s="4" t="e">
        <f>IF(MASTER_TABLE[[#This Row],[EMPLOYMENT]]="UNEMPLOYED", MASTER_TABLE[[#This Row],[actual order]], NA())</f>
        <v>#N/A</v>
      </c>
    </row>
    <row r="29" spans="1:8" x14ac:dyDescent="0.25">
      <c r="A29" s="1">
        <v>41722</v>
      </c>
      <c r="B29">
        <v>1</v>
      </c>
      <c r="C29">
        <v>224</v>
      </c>
      <c r="D29" t="s">
        <v>20</v>
      </c>
      <c r="E29">
        <v>18</v>
      </c>
      <c r="F29" t="s">
        <v>4</v>
      </c>
      <c r="G29" s="4">
        <f>IF(MASTER_TABLE[[#This Row],[EMPLOYMENT]]="EMPLOYED", MASTER_TABLE[[#This Row],[actual order]],NA())</f>
        <v>224</v>
      </c>
      <c r="H29" s="4" t="e">
        <f>IF(MASTER_TABLE[[#This Row],[EMPLOYMENT]]="UNEMPLOYED", MASTER_TABLE[[#This Row],[actual order]], NA())</f>
        <v>#N/A</v>
      </c>
    </row>
    <row r="30" spans="1:8" x14ac:dyDescent="0.25">
      <c r="A30" s="1">
        <v>41725</v>
      </c>
      <c r="B30">
        <v>1</v>
      </c>
      <c r="C30">
        <v>221</v>
      </c>
      <c r="D30" t="s">
        <v>20</v>
      </c>
      <c r="E30">
        <v>18</v>
      </c>
      <c r="F30" t="s">
        <v>4</v>
      </c>
      <c r="G30" s="4">
        <f>IF(MASTER_TABLE[[#This Row],[EMPLOYMENT]]="EMPLOYED", MASTER_TABLE[[#This Row],[actual order]],NA())</f>
        <v>221</v>
      </c>
      <c r="H30" s="4" t="e">
        <f>IF(MASTER_TABLE[[#This Row],[EMPLOYMENT]]="UNEMPLOYED", MASTER_TABLE[[#This Row],[actual order]], NA())</f>
        <v>#N/A</v>
      </c>
    </row>
    <row r="31" spans="1:8" x14ac:dyDescent="0.25">
      <c r="A31" s="1">
        <v>41726</v>
      </c>
      <c r="B31">
        <v>1</v>
      </c>
      <c r="C31">
        <v>239</v>
      </c>
      <c r="D31" t="s">
        <v>20</v>
      </c>
      <c r="E31">
        <v>18</v>
      </c>
      <c r="F31" t="s">
        <v>4</v>
      </c>
      <c r="G31" s="4">
        <f>IF(MASTER_TABLE[[#This Row],[EMPLOYMENT]]="EMPLOYED", MASTER_TABLE[[#This Row],[actual order]],NA())</f>
        <v>239</v>
      </c>
      <c r="H31" s="4" t="e">
        <f>IF(MASTER_TABLE[[#This Row],[EMPLOYMENT]]="UNEMPLOYED", MASTER_TABLE[[#This Row],[actual order]], NA())</f>
        <v>#N/A</v>
      </c>
    </row>
    <row r="32" spans="1:8" x14ac:dyDescent="0.25">
      <c r="A32" s="1">
        <v>41728</v>
      </c>
      <c r="B32">
        <v>1</v>
      </c>
      <c r="C32">
        <v>258</v>
      </c>
      <c r="D32" t="s">
        <v>20</v>
      </c>
      <c r="E32">
        <v>18</v>
      </c>
      <c r="F32" t="s">
        <v>4</v>
      </c>
      <c r="G32" s="4">
        <f>IF(MASTER_TABLE[[#This Row],[EMPLOYMENT]]="EMPLOYED", MASTER_TABLE[[#This Row],[actual order]],NA())</f>
        <v>258</v>
      </c>
      <c r="H32" s="4" t="e">
        <f>IF(MASTER_TABLE[[#This Row],[EMPLOYMENT]]="UNEMPLOYED", MASTER_TABLE[[#This Row],[actual order]], NA())</f>
        <v>#N/A</v>
      </c>
    </row>
    <row r="33" spans="1:8" x14ac:dyDescent="0.25">
      <c r="A33" s="1">
        <v>41734</v>
      </c>
      <c r="B33">
        <v>1</v>
      </c>
      <c r="C33">
        <v>195</v>
      </c>
      <c r="D33" t="s">
        <v>20</v>
      </c>
      <c r="E33">
        <v>18</v>
      </c>
      <c r="F33" t="s">
        <v>4</v>
      </c>
      <c r="G33" s="4">
        <f>IF(MASTER_TABLE[[#This Row],[EMPLOYMENT]]="EMPLOYED", MASTER_TABLE[[#This Row],[actual order]],NA())</f>
        <v>195</v>
      </c>
      <c r="H33" s="4" t="e">
        <f>IF(MASTER_TABLE[[#This Row],[EMPLOYMENT]]="UNEMPLOYED", MASTER_TABLE[[#This Row],[actual order]], NA())</f>
        <v>#N/A</v>
      </c>
    </row>
    <row r="34" spans="1:8" x14ac:dyDescent="0.25">
      <c r="A34" s="1">
        <v>41738</v>
      </c>
      <c r="B34">
        <v>1</v>
      </c>
      <c r="C34">
        <v>221</v>
      </c>
      <c r="D34" t="s">
        <v>20</v>
      </c>
      <c r="E34">
        <v>18</v>
      </c>
      <c r="F34" t="s">
        <v>4</v>
      </c>
      <c r="G34" s="4">
        <f>IF(MASTER_TABLE[[#This Row],[EMPLOYMENT]]="EMPLOYED", MASTER_TABLE[[#This Row],[actual order]],NA())</f>
        <v>221</v>
      </c>
      <c r="H34" s="4" t="e">
        <f>IF(MASTER_TABLE[[#This Row],[EMPLOYMENT]]="UNEMPLOYED", MASTER_TABLE[[#This Row],[actual order]], NA())</f>
        <v>#N/A</v>
      </c>
    </row>
    <row r="35" spans="1:8" x14ac:dyDescent="0.25">
      <c r="A35" s="1">
        <v>41739</v>
      </c>
      <c r="B35">
        <v>1</v>
      </c>
      <c r="C35">
        <v>204</v>
      </c>
      <c r="D35" t="s">
        <v>20</v>
      </c>
      <c r="E35">
        <v>18</v>
      </c>
      <c r="F35" t="s">
        <v>4</v>
      </c>
      <c r="G35" s="4">
        <f>IF(MASTER_TABLE[[#This Row],[EMPLOYMENT]]="EMPLOYED", MASTER_TABLE[[#This Row],[actual order]],NA())</f>
        <v>204</v>
      </c>
      <c r="H35" s="4" t="e">
        <f>IF(MASTER_TABLE[[#This Row],[EMPLOYMENT]]="UNEMPLOYED", MASTER_TABLE[[#This Row],[actual order]], NA())</f>
        <v>#N/A</v>
      </c>
    </row>
    <row r="36" spans="1:8" x14ac:dyDescent="0.25">
      <c r="A36" s="1">
        <v>41750</v>
      </c>
      <c r="B36">
        <v>1</v>
      </c>
      <c r="C36">
        <v>259</v>
      </c>
      <c r="D36" t="s">
        <v>20</v>
      </c>
      <c r="E36">
        <v>18</v>
      </c>
      <c r="F36" t="s">
        <v>4</v>
      </c>
      <c r="G36" s="4">
        <f>IF(MASTER_TABLE[[#This Row],[EMPLOYMENT]]="EMPLOYED", MASTER_TABLE[[#This Row],[actual order]],NA())</f>
        <v>259</v>
      </c>
      <c r="H36" s="4" t="e">
        <f>IF(MASTER_TABLE[[#This Row],[EMPLOYMENT]]="UNEMPLOYED", MASTER_TABLE[[#This Row],[actual order]], NA())</f>
        <v>#N/A</v>
      </c>
    </row>
    <row r="37" spans="1:8" x14ac:dyDescent="0.25">
      <c r="A37" s="1">
        <v>41751</v>
      </c>
      <c r="B37">
        <v>1</v>
      </c>
      <c r="C37">
        <v>201</v>
      </c>
      <c r="D37" t="s">
        <v>20</v>
      </c>
      <c r="E37">
        <v>18</v>
      </c>
      <c r="F37" t="s">
        <v>4</v>
      </c>
      <c r="G37" s="4">
        <f>IF(MASTER_TABLE[[#This Row],[EMPLOYMENT]]="EMPLOYED", MASTER_TABLE[[#This Row],[actual order]],NA())</f>
        <v>201</v>
      </c>
      <c r="H37" s="4" t="e">
        <f>IF(MASTER_TABLE[[#This Row],[EMPLOYMENT]]="UNEMPLOYED", MASTER_TABLE[[#This Row],[actual order]], NA())</f>
        <v>#N/A</v>
      </c>
    </row>
    <row r="38" spans="1:8" x14ac:dyDescent="0.25">
      <c r="A38" s="1">
        <v>41756</v>
      </c>
      <c r="B38">
        <v>1</v>
      </c>
      <c r="C38">
        <v>234</v>
      </c>
      <c r="D38" t="s">
        <v>20</v>
      </c>
      <c r="E38">
        <v>18</v>
      </c>
      <c r="F38" t="s">
        <v>4</v>
      </c>
      <c r="G38" s="4">
        <f>IF(MASTER_TABLE[[#This Row],[EMPLOYMENT]]="EMPLOYED", MASTER_TABLE[[#This Row],[actual order]],NA())</f>
        <v>234</v>
      </c>
      <c r="H38" s="4" t="e">
        <f>IF(MASTER_TABLE[[#This Row],[EMPLOYMENT]]="UNEMPLOYED", MASTER_TABLE[[#This Row],[actual order]], NA())</f>
        <v>#N/A</v>
      </c>
    </row>
    <row r="39" spans="1:8" x14ac:dyDescent="0.25">
      <c r="A39" s="1">
        <v>41760</v>
      </c>
      <c r="B39">
        <v>1</v>
      </c>
      <c r="C39">
        <v>226</v>
      </c>
      <c r="D39" t="s">
        <v>20</v>
      </c>
      <c r="E39">
        <v>18</v>
      </c>
      <c r="F39" t="s">
        <v>4</v>
      </c>
      <c r="G39" s="4">
        <f>IF(MASTER_TABLE[[#This Row],[EMPLOYMENT]]="EMPLOYED", MASTER_TABLE[[#This Row],[actual order]],NA())</f>
        <v>226</v>
      </c>
      <c r="H39" s="4" t="e">
        <f>IF(MASTER_TABLE[[#This Row],[EMPLOYMENT]]="UNEMPLOYED", MASTER_TABLE[[#This Row],[actual order]], NA())</f>
        <v>#N/A</v>
      </c>
    </row>
    <row r="40" spans="1:8" x14ac:dyDescent="0.25">
      <c r="A40" s="1">
        <v>41771</v>
      </c>
      <c r="B40">
        <v>1</v>
      </c>
      <c r="C40">
        <v>239</v>
      </c>
      <c r="D40" t="s">
        <v>20</v>
      </c>
      <c r="E40">
        <v>18</v>
      </c>
      <c r="F40" t="s">
        <v>4</v>
      </c>
      <c r="G40" s="4">
        <f>IF(MASTER_TABLE[[#This Row],[EMPLOYMENT]]="EMPLOYED", MASTER_TABLE[[#This Row],[actual order]],NA())</f>
        <v>239</v>
      </c>
      <c r="H40" s="4" t="e">
        <f>IF(MASTER_TABLE[[#This Row],[EMPLOYMENT]]="UNEMPLOYED", MASTER_TABLE[[#This Row],[actual order]], NA())</f>
        <v>#N/A</v>
      </c>
    </row>
    <row r="41" spans="1:8" x14ac:dyDescent="0.25">
      <c r="A41" s="1">
        <v>41776</v>
      </c>
      <c r="B41">
        <v>1</v>
      </c>
      <c r="C41">
        <v>209</v>
      </c>
      <c r="D41" t="s">
        <v>20</v>
      </c>
      <c r="E41">
        <v>18</v>
      </c>
      <c r="F41" t="s">
        <v>4</v>
      </c>
      <c r="G41" s="4">
        <f>IF(MASTER_TABLE[[#This Row],[EMPLOYMENT]]="EMPLOYED", MASTER_TABLE[[#This Row],[actual order]],NA())</f>
        <v>209</v>
      </c>
      <c r="H41" s="4" t="e">
        <f>IF(MASTER_TABLE[[#This Row],[EMPLOYMENT]]="UNEMPLOYED", MASTER_TABLE[[#This Row],[actual order]], NA())</f>
        <v>#N/A</v>
      </c>
    </row>
    <row r="42" spans="1:8" x14ac:dyDescent="0.25">
      <c r="A42" s="1">
        <v>41782</v>
      </c>
      <c r="B42">
        <v>1</v>
      </c>
      <c r="C42">
        <v>231</v>
      </c>
      <c r="D42" t="s">
        <v>20</v>
      </c>
      <c r="E42">
        <v>18</v>
      </c>
      <c r="F42" t="s">
        <v>4</v>
      </c>
      <c r="G42" s="4">
        <f>IF(MASTER_TABLE[[#This Row],[EMPLOYMENT]]="EMPLOYED", MASTER_TABLE[[#This Row],[actual order]],NA())</f>
        <v>231</v>
      </c>
      <c r="H42" s="4" t="e">
        <f>IF(MASTER_TABLE[[#This Row],[EMPLOYMENT]]="UNEMPLOYED", MASTER_TABLE[[#This Row],[actual order]], NA())</f>
        <v>#N/A</v>
      </c>
    </row>
    <row r="43" spans="1:8" x14ac:dyDescent="0.25">
      <c r="A43" s="1">
        <v>41783</v>
      </c>
      <c r="B43">
        <v>1</v>
      </c>
      <c r="C43">
        <v>205</v>
      </c>
      <c r="D43" t="s">
        <v>20</v>
      </c>
      <c r="E43">
        <v>18</v>
      </c>
      <c r="F43" t="s">
        <v>4</v>
      </c>
      <c r="G43" s="4">
        <f>IF(MASTER_TABLE[[#This Row],[EMPLOYMENT]]="EMPLOYED", MASTER_TABLE[[#This Row],[actual order]],NA())</f>
        <v>205</v>
      </c>
      <c r="H43" s="4" t="e">
        <f>IF(MASTER_TABLE[[#This Row],[EMPLOYMENT]]="UNEMPLOYED", MASTER_TABLE[[#This Row],[actual order]], NA())</f>
        <v>#N/A</v>
      </c>
    </row>
    <row r="44" spans="1:8" x14ac:dyDescent="0.25">
      <c r="A44" s="1">
        <v>41785</v>
      </c>
      <c r="B44">
        <v>1</v>
      </c>
      <c r="C44">
        <v>234</v>
      </c>
      <c r="D44" t="s">
        <v>20</v>
      </c>
      <c r="E44">
        <v>18</v>
      </c>
      <c r="F44" t="s">
        <v>4</v>
      </c>
      <c r="G44" s="4">
        <f>IF(MASTER_TABLE[[#This Row],[EMPLOYMENT]]="EMPLOYED", MASTER_TABLE[[#This Row],[actual order]],NA())</f>
        <v>234</v>
      </c>
      <c r="H44" s="4" t="e">
        <f>IF(MASTER_TABLE[[#This Row],[EMPLOYMENT]]="UNEMPLOYED", MASTER_TABLE[[#This Row],[actual order]], NA())</f>
        <v>#N/A</v>
      </c>
    </row>
    <row r="45" spans="1:8" x14ac:dyDescent="0.25">
      <c r="A45" s="1">
        <v>41790</v>
      </c>
      <c r="B45">
        <v>1</v>
      </c>
      <c r="C45">
        <v>237</v>
      </c>
      <c r="D45" t="s">
        <v>20</v>
      </c>
      <c r="E45">
        <v>18</v>
      </c>
      <c r="F45" t="s">
        <v>4</v>
      </c>
      <c r="G45" s="4">
        <f>IF(MASTER_TABLE[[#This Row],[EMPLOYMENT]]="EMPLOYED", MASTER_TABLE[[#This Row],[actual order]],NA())</f>
        <v>237</v>
      </c>
      <c r="H45" s="4" t="e">
        <f>IF(MASTER_TABLE[[#This Row],[EMPLOYMENT]]="UNEMPLOYED", MASTER_TABLE[[#This Row],[actual order]], NA())</f>
        <v>#N/A</v>
      </c>
    </row>
    <row r="46" spans="1:8" x14ac:dyDescent="0.25">
      <c r="A46" s="1">
        <v>41801</v>
      </c>
      <c r="B46">
        <v>1</v>
      </c>
      <c r="C46">
        <v>206</v>
      </c>
      <c r="D46" t="s">
        <v>20</v>
      </c>
      <c r="E46">
        <v>18</v>
      </c>
      <c r="F46" t="s">
        <v>4</v>
      </c>
      <c r="G46" s="4">
        <f>IF(MASTER_TABLE[[#This Row],[EMPLOYMENT]]="EMPLOYED", MASTER_TABLE[[#This Row],[actual order]],NA())</f>
        <v>206</v>
      </c>
      <c r="H46" s="4" t="e">
        <f>IF(MASTER_TABLE[[#This Row],[EMPLOYMENT]]="UNEMPLOYED", MASTER_TABLE[[#This Row],[actual order]], NA())</f>
        <v>#N/A</v>
      </c>
    </row>
    <row r="47" spans="1:8" x14ac:dyDescent="0.25">
      <c r="A47" s="1">
        <v>41801</v>
      </c>
      <c r="B47">
        <v>1</v>
      </c>
      <c r="C47">
        <v>227</v>
      </c>
      <c r="D47" t="s">
        <v>20</v>
      </c>
      <c r="E47">
        <v>18</v>
      </c>
      <c r="F47" t="s">
        <v>4</v>
      </c>
      <c r="G47" s="4">
        <f>IF(MASTER_TABLE[[#This Row],[EMPLOYMENT]]="EMPLOYED", MASTER_TABLE[[#This Row],[actual order]],NA())</f>
        <v>227</v>
      </c>
      <c r="H47" s="4" t="e">
        <f>IF(MASTER_TABLE[[#This Row],[EMPLOYMENT]]="UNEMPLOYED", MASTER_TABLE[[#This Row],[actual order]], NA())</f>
        <v>#N/A</v>
      </c>
    </row>
    <row r="48" spans="1:8" x14ac:dyDescent="0.25">
      <c r="A48" s="1">
        <v>41804</v>
      </c>
      <c r="B48">
        <v>1</v>
      </c>
      <c r="C48">
        <v>200</v>
      </c>
      <c r="D48" t="s">
        <v>20</v>
      </c>
      <c r="E48">
        <v>18</v>
      </c>
      <c r="F48" t="s">
        <v>4</v>
      </c>
      <c r="G48" s="4">
        <f>IF(MASTER_TABLE[[#This Row],[EMPLOYMENT]]="EMPLOYED", MASTER_TABLE[[#This Row],[actual order]],NA())</f>
        <v>200</v>
      </c>
      <c r="H48" s="4" t="e">
        <f>IF(MASTER_TABLE[[#This Row],[EMPLOYMENT]]="UNEMPLOYED", MASTER_TABLE[[#This Row],[actual order]], NA())</f>
        <v>#N/A</v>
      </c>
    </row>
    <row r="49" spans="1:8" x14ac:dyDescent="0.25">
      <c r="A49" s="1">
        <v>41805</v>
      </c>
      <c r="B49">
        <v>1</v>
      </c>
      <c r="C49">
        <v>244</v>
      </c>
      <c r="D49" t="s">
        <v>20</v>
      </c>
      <c r="E49">
        <v>18</v>
      </c>
      <c r="F49" t="s">
        <v>4</v>
      </c>
      <c r="G49" s="4">
        <f>IF(MASTER_TABLE[[#This Row],[EMPLOYMENT]]="EMPLOYED", MASTER_TABLE[[#This Row],[actual order]],NA())</f>
        <v>244</v>
      </c>
      <c r="H49" s="4" t="e">
        <f>IF(MASTER_TABLE[[#This Row],[EMPLOYMENT]]="UNEMPLOYED", MASTER_TABLE[[#This Row],[actual order]], NA())</f>
        <v>#N/A</v>
      </c>
    </row>
    <row r="50" spans="1:8" x14ac:dyDescent="0.25">
      <c r="A50" s="1">
        <v>41805</v>
      </c>
      <c r="B50">
        <v>1</v>
      </c>
      <c r="C50">
        <v>213</v>
      </c>
      <c r="D50" t="s">
        <v>20</v>
      </c>
      <c r="E50">
        <v>18</v>
      </c>
      <c r="F50" t="s">
        <v>4</v>
      </c>
      <c r="G50" s="4">
        <f>IF(MASTER_TABLE[[#This Row],[EMPLOYMENT]]="EMPLOYED", MASTER_TABLE[[#This Row],[actual order]],NA())</f>
        <v>213</v>
      </c>
      <c r="H50" s="4" t="e">
        <f>IF(MASTER_TABLE[[#This Row],[EMPLOYMENT]]="UNEMPLOYED", MASTER_TABLE[[#This Row],[actual order]], NA())</f>
        <v>#N/A</v>
      </c>
    </row>
    <row r="51" spans="1:8" x14ac:dyDescent="0.25">
      <c r="A51" s="1">
        <v>41807</v>
      </c>
      <c r="B51">
        <v>1</v>
      </c>
      <c r="C51">
        <v>255</v>
      </c>
      <c r="D51" t="s">
        <v>20</v>
      </c>
      <c r="E51">
        <v>18</v>
      </c>
      <c r="F51" t="s">
        <v>4</v>
      </c>
      <c r="G51" s="4">
        <f>IF(MASTER_TABLE[[#This Row],[EMPLOYMENT]]="EMPLOYED", MASTER_TABLE[[#This Row],[actual order]],NA())</f>
        <v>255</v>
      </c>
      <c r="H51" s="4" t="e">
        <f>IF(MASTER_TABLE[[#This Row],[EMPLOYMENT]]="UNEMPLOYED", MASTER_TABLE[[#This Row],[actual order]], NA())</f>
        <v>#N/A</v>
      </c>
    </row>
    <row r="52" spans="1:8" x14ac:dyDescent="0.25">
      <c r="A52" s="1">
        <v>41625</v>
      </c>
      <c r="B52">
        <v>2</v>
      </c>
      <c r="C52">
        <v>271</v>
      </c>
      <c r="D52" t="s">
        <v>21</v>
      </c>
      <c r="E52">
        <v>20</v>
      </c>
      <c r="F52" t="s">
        <v>5</v>
      </c>
      <c r="G52" s="4" t="e">
        <f>IF(MASTER_TABLE[[#This Row],[EMPLOYMENT]]="EMPLOYED", MASTER_TABLE[[#This Row],[actual order]],NA())</f>
        <v>#N/A</v>
      </c>
      <c r="H52" s="4">
        <f>IF(MASTER_TABLE[[#This Row],[EMPLOYMENT]]="UNEMPLOYED", MASTER_TABLE[[#This Row],[actual order]], NA())</f>
        <v>271</v>
      </c>
    </row>
    <row r="53" spans="1:8" x14ac:dyDescent="0.25">
      <c r="A53" s="1">
        <v>41625</v>
      </c>
      <c r="B53">
        <v>2</v>
      </c>
      <c r="C53">
        <v>253</v>
      </c>
      <c r="D53" t="s">
        <v>21</v>
      </c>
      <c r="E53">
        <v>20</v>
      </c>
      <c r="F53" t="s">
        <v>5</v>
      </c>
      <c r="G53" s="4" t="e">
        <f>IF(MASTER_TABLE[[#This Row],[EMPLOYMENT]]="EMPLOYED", MASTER_TABLE[[#This Row],[actual order]],NA())</f>
        <v>#N/A</v>
      </c>
      <c r="H53" s="4">
        <f>IF(MASTER_TABLE[[#This Row],[EMPLOYMENT]]="UNEMPLOYED", MASTER_TABLE[[#This Row],[actual order]], NA())</f>
        <v>253</v>
      </c>
    </row>
    <row r="54" spans="1:8" x14ac:dyDescent="0.25">
      <c r="A54" s="1">
        <v>41642</v>
      </c>
      <c r="B54">
        <v>2</v>
      </c>
      <c r="C54">
        <v>270</v>
      </c>
      <c r="D54" t="s">
        <v>21</v>
      </c>
      <c r="E54">
        <v>20</v>
      </c>
      <c r="F54" t="s">
        <v>5</v>
      </c>
      <c r="G54" s="4" t="e">
        <f>IF(MASTER_TABLE[[#This Row],[EMPLOYMENT]]="EMPLOYED", MASTER_TABLE[[#This Row],[actual order]],NA())</f>
        <v>#N/A</v>
      </c>
      <c r="H54" s="4">
        <f>IF(MASTER_TABLE[[#This Row],[EMPLOYMENT]]="UNEMPLOYED", MASTER_TABLE[[#This Row],[actual order]], NA())</f>
        <v>270</v>
      </c>
    </row>
    <row r="55" spans="1:8" x14ac:dyDescent="0.25">
      <c r="A55" s="1">
        <v>41643</v>
      </c>
      <c r="B55">
        <v>2</v>
      </c>
      <c r="C55">
        <v>291</v>
      </c>
      <c r="D55" t="s">
        <v>21</v>
      </c>
      <c r="E55">
        <v>20</v>
      </c>
      <c r="F55" t="s">
        <v>5</v>
      </c>
      <c r="G55" s="4" t="e">
        <f>IF(MASTER_TABLE[[#This Row],[EMPLOYMENT]]="EMPLOYED", MASTER_TABLE[[#This Row],[actual order]],NA())</f>
        <v>#N/A</v>
      </c>
      <c r="H55" s="4">
        <f>IF(MASTER_TABLE[[#This Row],[EMPLOYMENT]]="UNEMPLOYED", MASTER_TABLE[[#This Row],[actual order]], NA())</f>
        <v>291</v>
      </c>
    </row>
    <row r="56" spans="1:8" x14ac:dyDescent="0.25">
      <c r="A56" s="1">
        <v>41644</v>
      </c>
      <c r="B56">
        <v>2</v>
      </c>
      <c r="C56">
        <v>270</v>
      </c>
      <c r="D56" t="s">
        <v>21</v>
      </c>
      <c r="E56">
        <v>20</v>
      </c>
      <c r="F56" t="s">
        <v>5</v>
      </c>
      <c r="G56" s="4" t="e">
        <f>IF(MASTER_TABLE[[#This Row],[EMPLOYMENT]]="EMPLOYED", MASTER_TABLE[[#This Row],[actual order]],NA())</f>
        <v>#N/A</v>
      </c>
      <c r="H56" s="4">
        <f>IF(MASTER_TABLE[[#This Row],[EMPLOYMENT]]="UNEMPLOYED", MASTER_TABLE[[#This Row],[actual order]], NA())</f>
        <v>270</v>
      </c>
    </row>
    <row r="57" spans="1:8" x14ac:dyDescent="0.25">
      <c r="A57" s="1">
        <v>41654</v>
      </c>
      <c r="B57">
        <v>2</v>
      </c>
      <c r="C57">
        <v>267</v>
      </c>
      <c r="D57" t="s">
        <v>21</v>
      </c>
      <c r="E57">
        <v>20</v>
      </c>
      <c r="F57" t="s">
        <v>5</v>
      </c>
      <c r="G57" s="4" t="e">
        <f>IF(MASTER_TABLE[[#This Row],[EMPLOYMENT]]="EMPLOYED", MASTER_TABLE[[#This Row],[actual order]],NA())</f>
        <v>#N/A</v>
      </c>
      <c r="H57" s="4">
        <f>IF(MASTER_TABLE[[#This Row],[EMPLOYMENT]]="UNEMPLOYED", MASTER_TABLE[[#This Row],[actual order]], NA())</f>
        <v>267</v>
      </c>
    </row>
    <row r="58" spans="1:8" x14ac:dyDescent="0.25">
      <c r="A58" s="1">
        <v>41657</v>
      </c>
      <c r="B58">
        <v>2</v>
      </c>
      <c r="C58">
        <v>250</v>
      </c>
      <c r="D58" t="s">
        <v>21</v>
      </c>
      <c r="E58">
        <v>20</v>
      </c>
      <c r="F58" t="s">
        <v>5</v>
      </c>
      <c r="G58" s="4" t="e">
        <f>IF(MASTER_TABLE[[#This Row],[EMPLOYMENT]]="EMPLOYED", MASTER_TABLE[[#This Row],[actual order]],NA())</f>
        <v>#N/A</v>
      </c>
      <c r="H58" s="4">
        <f>IF(MASTER_TABLE[[#This Row],[EMPLOYMENT]]="UNEMPLOYED", MASTER_TABLE[[#This Row],[actual order]], NA())</f>
        <v>250</v>
      </c>
    </row>
    <row r="59" spans="1:8" x14ac:dyDescent="0.25">
      <c r="A59" s="1">
        <v>41661</v>
      </c>
      <c r="B59">
        <v>2</v>
      </c>
      <c r="C59">
        <v>281</v>
      </c>
      <c r="D59" t="s">
        <v>21</v>
      </c>
      <c r="E59">
        <v>20</v>
      </c>
      <c r="F59" t="s">
        <v>5</v>
      </c>
      <c r="G59" s="4" t="e">
        <f>IF(MASTER_TABLE[[#This Row],[EMPLOYMENT]]="EMPLOYED", MASTER_TABLE[[#This Row],[actual order]],NA())</f>
        <v>#N/A</v>
      </c>
      <c r="H59" s="4">
        <f>IF(MASTER_TABLE[[#This Row],[EMPLOYMENT]]="UNEMPLOYED", MASTER_TABLE[[#This Row],[actual order]], NA())</f>
        <v>281</v>
      </c>
    </row>
    <row r="60" spans="1:8" x14ac:dyDescent="0.25">
      <c r="A60" s="1">
        <v>41666</v>
      </c>
      <c r="B60">
        <v>2</v>
      </c>
      <c r="C60">
        <v>259</v>
      </c>
      <c r="D60" t="s">
        <v>21</v>
      </c>
      <c r="E60">
        <v>20</v>
      </c>
      <c r="F60" t="s">
        <v>5</v>
      </c>
      <c r="G60" s="4" t="e">
        <f>IF(MASTER_TABLE[[#This Row],[EMPLOYMENT]]="EMPLOYED", MASTER_TABLE[[#This Row],[actual order]],NA())</f>
        <v>#N/A</v>
      </c>
      <c r="H60" s="4">
        <f>IF(MASTER_TABLE[[#This Row],[EMPLOYMENT]]="UNEMPLOYED", MASTER_TABLE[[#This Row],[actual order]], NA())</f>
        <v>259</v>
      </c>
    </row>
    <row r="61" spans="1:8" x14ac:dyDescent="0.25">
      <c r="A61" s="1">
        <v>41669</v>
      </c>
      <c r="B61">
        <v>2</v>
      </c>
      <c r="C61">
        <v>289</v>
      </c>
      <c r="D61" t="s">
        <v>21</v>
      </c>
      <c r="E61">
        <v>20</v>
      </c>
      <c r="F61" t="s">
        <v>5</v>
      </c>
      <c r="G61" s="4" t="e">
        <f>IF(MASTER_TABLE[[#This Row],[EMPLOYMENT]]="EMPLOYED", MASTER_TABLE[[#This Row],[actual order]],NA())</f>
        <v>#N/A</v>
      </c>
      <c r="H61" s="4">
        <f>IF(MASTER_TABLE[[#This Row],[EMPLOYMENT]]="UNEMPLOYED", MASTER_TABLE[[#This Row],[actual order]], NA())</f>
        <v>289</v>
      </c>
    </row>
    <row r="62" spans="1:8" x14ac:dyDescent="0.25">
      <c r="A62" s="1">
        <v>41672</v>
      </c>
      <c r="B62">
        <v>2</v>
      </c>
      <c r="C62">
        <v>290</v>
      </c>
      <c r="D62" t="s">
        <v>21</v>
      </c>
      <c r="E62">
        <v>20</v>
      </c>
      <c r="F62" t="s">
        <v>5</v>
      </c>
      <c r="G62" s="4" t="e">
        <f>IF(MASTER_TABLE[[#This Row],[EMPLOYMENT]]="EMPLOYED", MASTER_TABLE[[#This Row],[actual order]],NA())</f>
        <v>#N/A</v>
      </c>
      <c r="H62" s="4">
        <f>IF(MASTER_TABLE[[#This Row],[EMPLOYMENT]]="UNEMPLOYED", MASTER_TABLE[[#This Row],[actual order]], NA())</f>
        <v>290</v>
      </c>
    </row>
    <row r="63" spans="1:8" x14ac:dyDescent="0.25">
      <c r="A63" s="1">
        <v>41676</v>
      </c>
      <c r="B63">
        <v>2</v>
      </c>
      <c r="C63">
        <v>243</v>
      </c>
      <c r="D63" t="s">
        <v>21</v>
      </c>
      <c r="E63">
        <v>20</v>
      </c>
      <c r="F63" t="s">
        <v>5</v>
      </c>
      <c r="G63" s="4" t="e">
        <f>IF(MASTER_TABLE[[#This Row],[EMPLOYMENT]]="EMPLOYED", MASTER_TABLE[[#This Row],[actual order]],NA())</f>
        <v>#N/A</v>
      </c>
      <c r="H63" s="4">
        <f>IF(MASTER_TABLE[[#This Row],[EMPLOYMENT]]="UNEMPLOYED", MASTER_TABLE[[#This Row],[actual order]], NA())</f>
        <v>243</v>
      </c>
    </row>
    <row r="64" spans="1:8" x14ac:dyDescent="0.25">
      <c r="A64" s="1">
        <v>41690</v>
      </c>
      <c r="B64">
        <v>2</v>
      </c>
      <c r="C64">
        <v>271</v>
      </c>
      <c r="D64" t="s">
        <v>21</v>
      </c>
      <c r="E64">
        <v>20</v>
      </c>
      <c r="F64" t="s">
        <v>5</v>
      </c>
      <c r="G64" s="4" t="e">
        <f>IF(MASTER_TABLE[[#This Row],[EMPLOYMENT]]="EMPLOYED", MASTER_TABLE[[#This Row],[actual order]],NA())</f>
        <v>#N/A</v>
      </c>
      <c r="H64" s="4">
        <f>IF(MASTER_TABLE[[#This Row],[EMPLOYMENT]]="UNEMPLOYED", MASTER_TABLE[[#This Row],[actual order]], NA())</f>
        <v>271</v>
      </c>
    </row>
    <row r="65" spans="1:8" x14ac:dyDescent="0.25">
      <c r="A65" s="1">
        <v>41690</v>
      </c>
      <c r="B65">
        <v>2</v>
      </c>
      <c r="C65">
        <v>248</v>
      </c>
      <c r="D65" t="s">
        <v>21</v>
      </c>
      <c r="E65">
        <v>20</v>
      </c>
      <c r="F65" t="s">
        <v>5</v>
      </c>
      <c r="G65" s="4" t="e">
        <f>IF(MASTER_TABLE[[#This Row],[EMPLOYMENT]]="EMPLOYED", MASTER_TABLE[[#This Row],[actual order]],NA())</f>
        <v>#N/A</v>
      </c>
      <c r="H65" s="4">
        <f>IF(MASTER_TABLE[[#This Row],[EMPLOYMENT]]="UNEMPLOYED", MASTER_TABLE[[#This Row],[actual order]], NA())</f>
        <v>248</v>
      </c>
    </row>
    <row r="66" spans="1:8" x14ac:dyDescent="0.25">
      <c r="A66" s="1">
        <v>41705</v>
      </c>
      <c r="B66">
        <v>2</v>
      </c>
      <c r="C66">
        <v>269</v>
      </c>
      <c r="D66" t="s">
        <v>21</v>
      </c>
      <c r="E66">
        <v>20</v>
      </c>
      <c r="F66" t="s">
        <v>5</v>
      </c>
      <c r="G66" s="4" t="e">
        <f>IF(MASTER_TABLE[[#This Row],[EMPLOYMENT]]="EMPLOYED", MASTER_TABLE[[#This Row],[actual order]],NA())</f>
        <v>#N/A</v>
      </c>
      <c r="H66" s="4">
        <f>IF(MASTER_TABLE[[#This Row],[EMPLOYMENT]]="UNEMPLOYED", MASTER_TABLE[[#This Row],[actual order]], NA())</f>
        <v>269</v>
      </c>
    </row>
    <row r="67" spans="1:8" x14ac:dyDescent="0.25">
      <c r="A67" s="1">
        <v>41706</v>
      </c>
      <c r="B67">
        <v>2</v>
      </c>
      <c r="C67">
        <v>239</v>
      </c>
      <c r="D67" t="s">
        <v>21</v>
      </c>
      <c r="E67">
        <v>20</v>
      </c>
      <c r="F67" t="s">
        <v>5</v>
      </c>
      <c r="G67" s="4" t="e">
        <f>IF(MASTER_TABLE[[#This Row],[EMPLOYMENT]]="EMPLOYED", MASTER_TABLE[[#This Row],[actual order]],NA())</f>
        <v>#N/A</v>
      </c>
      <c r="H67" s="4">
        <f>IF(MASTER_TABLE[[#This Row],[EMPLOYMENT]]="UNEMPLOYED", MASTER_TABLE[[#This Row],[actual order]], NA())</f>
        <v>239</v>
      </c>
    </row>
    <row r="68" spans="1:8" x14ac:dyDescent="0.25">
      <c r="A68" s="1">
        <v>41709</v>
      </c>
      <c r="B68">
        <v>2</v>
      </c>
      <c r="C68">
        <v>310</v>
      </c>
      <c r="D68" t="s">
        <v>21</v>
      </c>
      <c r="E68">
        <v>20</v>
      </c>
      <c r="F68" t="s">
        <v>5</v>
      </c>
      <c r="G68" s="4" t="e">
        <f>IF(MASTER_TABLE[[#This Row],[EMPLOYMENT]]="EMPLOYED", MASTER_TABLE[[#This Row],[actual order]],NA())</f>
        <v>#N/A</v>
      </c>
      <c r="H68" s="4">
        <f>IF(MASTER_TABLE[[#This Row],[EMPLOYMENT]]="UNEMPLOYED", MASTER_TABLE[[#This Row],[actual order]], NA())</f>
        <v>310</v>
      </c>
    </row>
    <row r="69" spans="1:8" x14ac:dyDescent="0.25">
      <c r="A69" s="1">
        <v>41716</v>
      </c>
      <c r="B69">
        <v>2</v>
      </c>
      <c r="C69">
        <v>253</v>
      </c>
      <c r="D69" t="s">
        <v>21</v>
      </c>
      <c r="E69">
        <v>20</v>
      </c>
      <c r="F69" t="s">
        <v>5</v>
      </c>
      <c r="G69" s="4" t="e">
        <f>IF(MASTER_TABLE[[#This Row],[EMPLOYMENT]]="EMPLOYED", MASTER_TABLE[[#This Row],[actual order]],NA())</f>
        <v>#N/A</v>
      </c>
      <c r="H69" s="4">
        <f>IF(MASTER_TABLE[[#This Row],[EMPLOYMENT]]="UNEMPLOYED", MASTER_TABLE[[#This Row],[actual order]], NA())</f>
        <v>253</v>
      </c>
    </row>
    <row r="70" spans="1:8" x14ac:dyDescent="0.25">
      <c r="A70" s="1">
        <v>41720</v>
      </c>
      <c r="B70">
        <v>2</v>
      </c>
      <c r="C70">
        <v>245</v>
      </c>
      <c r="D70" t="s">
        <v>21</v>
      </c>
      <c r="E70">
        <v>20</v>
      </c>
      <c r="F70" t="s">
        <v>5</v>
      </c>
      <c r="G70" s="4" t="e">
        <f>IF(MASTER_TABLE[[#This Row],[EMPLOYMENT]]="EMPLOYED", MASTER_TABLE[[#This Row],[actual order]],NA())</f>
        <v>#N/A</v>
      </c>
      <c r="H70" s="4">
        <f>IF(MASTER_TABLE[[#This Row],[EMPLOYMENT]]="UNEMPLOYED", MASTER_TABLE[[#This Row],[actual order]], NA())</f>
        <v>245</v>
      </c>
    </row>
    <row r="71" spans="1:8" x14ac:dyDescent="0.25">
      <c r="A71" s="1">
        <v>41720</v>
      </c>
      <c r="B71">
        <v>2</v>
      </c>
      <c r="C71">
        <v>268</v>
      </c>
      <c r="D71" t="s">
        <v>21</v>
      </c>
      <c r="E71">
        <v>20</v>
      </c>
      <c r="F71" t="s">
        <v>5</v>
      </c>
      <c r="G71" s="4" t="e">
        <f>IF(MASTER_TABLE[[#This Row],[EMPLOYMENT]]="EMPLOYED", MASTER_TABLE[[#This Row],[actual order]],NA())</f>
        <v>#N/A</v>
      </c>
      <c r="H71" s="4">
        <f>IF(MASTER_TABLE[[#This Row],[EMPLOYMENT]]="UNEMPLOYED", MASTER_TABLE[[#This Row],[actual order]], NA())</f>
        <v>268</v>
      </c>
    </row>
    <row r="72" spans="1:8" x14ac:dyDescent="0.25">
      <c r="A72" s="1">
        <v>41722</v>
      </c>
      <c r="B72">
        <v>2</v>
      </c>
      <c r="C72">
        <v>260</v>
      </c>
      <c r="D72" t="s">
        <v>21</v>
      </c>
      <c r="E72">
        <v>20</v>
      </c>
      <c r="F72" t="s">
        <v>5</v>
      </c>
      <c r="G72" s="4" t="e">
        <f>IF(MASTER_TABLE[[#This Row],[EMPLOYMENT]]="EMPLOYED", MASTER_TABLE[[#This Row],[actual order]],NA())</f>
        <v>#N/A</v>
      </c>
      <c r="H72" s="4">
        <f>IF(MASTER_TABLE[[#This Row],[EMPLOYMENT]]="UNEMPLOYED", MASTER_TABLE[[#This Row],[actual order]], NA())</f>
        <v>260</v>
      </c>
    </row>
    <row r="73" spans="1:8" x14ac:dyDescent="0.25">
      <c r="A73" s="1">
        <v>41727</v>
      </c>
      <c r="B73">
        <v>2</v>
      </c>
      <c r="C73">
        <v>285</v>
      </c>
      <c r="D73" t="s">
        <v>21</v>
      </c>
      <c r="E73">
        <v>20</v>
      </c>
      <c r="F73" t="s">
        <v>5</v>
      </c>
      <c r="G73" s="4" t="e">
        <f>IF(MASTER_TABLE[[#This Row],[EMPLOYMENT]]="EMPLOYED", MASTER_TABLE[[#This Row],[actual order]],NA())</f>
        <v>#N/A</v>
      </c>
      <c r="H73" s="4">
        <f>IF(MASTER_TABLE[[#This Row],[EMPLOYMENT]]="UNEMPLOYED", MASTER_TABLE[[#This Row],[actual order]], NA())</f>
        <v>285</v>
      </c>
    </row>
    <row r="74" spans="1:8" x14ac:dyDescent="0.25">
      <c r="A74" s="1">
        <v>41732</v>
      </c>
      <c r="B74">
        <v>2</v>
      </c>
      <c r="C74">
        <v>269</v>
      </c>
      <c r="D74" t="s">
        <v>21</v>
      </c>
      <c r="E74">
        <v>20</v>
      </c>
      <c r="F74" t="s">
        <v>5</v>
      </c>
      <c r="G74" s="4" t="e">
        <f>IF(MASTER_TABLE[[#This Row],[EMPLOYMENT]]="EMPLOYED", MASTER_TABLE[[#This Row],[actual order]],NA())</f>
        <v>#N/A</v>
      </c>
      <c r="H74" s="4">
        <f>IF(MASTER_TABLE[[#This Row],[EMPLOYMENT]]="UNEMPLOYED", MASTER_TABLE[[#This Row],[actual order]], NA())</f>
        <v>269</v>
      </c>
    </row>
    <row r="75" spans="1:8" x14ac:dyDescent="0.25">
      <c r="A75" s="1">
        <v>41736</v>
      </c>
      <c r="B75">
        <v>2</v>
      </c>
      <c r="C75">
        <v>259</v>
      </c>
      <c r="D75" t="s">
        <v>21</v>
      </c>
      <c r="E75">
        <v>20</v>
      </c>
      <c r="F75" t="s">
        <v>5</v>
      </c>
      <c r="G75" s="4" t="e">
        <f>IF(MASTER_TABLE[[#This Row],[EMPLOYMENT]]="EMPLOYED", MASTER_TABLE[[#This Row],[actual order]],NA())</f>
        <v>#N/A</v>
      </c>
      <c r="H75" s="4">
        <f>IF(MASTER_TABLE[[#This Row],[EMPLOYMENT]]="UNEMPLOYED", MASTER_TABLE[[#This Row],[actual order]], NA())</f>
        <v>259</v>
      </c>
    </row>
    <row r="76" spans="1:8" x14ac:dyDescent="0.25">
      <c r="A76" s="1">
        <v>41755</v>
      </c>
      <c r="B76">
        <v>2</v>
      </c>
      <c r="C76">
        <v>282</v>
      </c>
      <c r="D76" t="s">
        <v>21</v>
      </c>
      <c r="E76">
        <v>20</v>
      </c>
      <c r="F76" t="s">
        <v>5</v>
      </c>
      <c r="G76" s="4" t="e">
        <f>IF(MASTER_TABLE[[#This Row],[EMPLOYMENT]]="EMPLOYED", MASTER_TABLE[[#This Row],[actual order]],NA())</f>
        <v>#N/A</v>
      </c>
      <c r="H76" s="4">
        <f>IF(MASTER_TABLE[[#This Row],[EMPLOYMENT]]="UNEMPLOYED", MASTER_TABLE[[#This Row],[actual order]], NA())</f>
        <v>282</v>
      </c>
    </row>
    <row r="77" spans="1:8" x14ac:dyDescent="0.25">
      <c r="A77" s="1">
        <v>41761</v>
      </c>
      <c r="B77">
        <v>2</v>
      </c>
      <c r="C77">
        <v>243</v>
      </c>
      <c r="D77" t="s">
        <v>21</v>
      </c>
      <c r="E77">
        <v>20</v>
      </c>
      <c r="F77" t="s">
        <v>5</v>
      </c>
      <c r="G77" s="4" t="e">
        <f>IF(MASTER_TABLE[[#This Row],[EMPLOYMENT]]="EMPLOYED", MASTER_TABLE[[#This Row],[actual order]],NA())</f>
        <v>#N/A</v>
      </c>
      <c r="H77" s="4">
        <f>IF(MASTER_TABLE[[#This Row],[EMPLOYMENT]]="UNEMPLOYED", MASTER_TABLE[[#This Row],[actual order]], NA())</f>
        <v>243</v>
      </c>
    </row>
    <row r="78" spans="1:8" x14ac:dyDescent="0.25">
      <c r="A78" s="1">
        <v>41768</v>
      </c>
      <c r="B78">
        <v>2</v>
      </c>
      <c r="C78">
        <v>240</v>
      </c>
      <c r="D78" t="s">
        <v>21</v>
      </c>
      <c r="E78">
        <v>20</v>
      </c>
      <c r="F78" t="s">
        <v>5</v>
      </c>
      <c r="G78" s="4" t="e">
        <f>IF(MASTER_TABLE[[#This Row],[EMPLOYMENT]]="EMPLOYED", MASTER_TABLE[[#This Row],[actual order]],NA())</f>
        <v>#N/A</v>
      </c>
      <c r="H78" s="4">
        <f>IF(MASTER_TABLE[[#This Row],[EMPLOYMENT]]="UNEMPLOYED", MASTER_TABLE[[#This Row],[actual order]], NA())</f>
        <v>240</v>
      </c>
    </row>
    <row r="79" spans="1:8" x14ac:dyDescent="0.25">
      <c r="A79" s="1">
        <v>41777</v>
      </c>
      <c r="B79">
        <v>2</v>
      </c>
      <c r="C79">
        <v>258</v>
      </c>
      <c r="D79" t="s">
        <v>21</v>
      </c>
      <c r="E79">
        <v>20</v>
      </c>
      <c r="F79" t="s">
        <v>5</v>
      </c>
      <c r="G79" s="4" t="e">
        <f>IF(MASTER_TABLE[[#This Row],[EMPLOYMENT]]="EMPLOYED", MASTER_TABLE[[#This Row],[actual order]],NA())</f>
        <v>#N/A</v>
      </c>
      <c r="H79" s="4">
        <f>IF(MASTER_TABLE[[#This Row],[EMPLOYMENT]]="UNEMPLOYED", MASTER_TABLE[[#This Row],[actual order]], NA())</f>
        <v>258</v>
      </c>
    </row>
    <row r="80" spans="1:8" x14ac:dyDescent="0.25">
      <c r="A80" s="1">
        <v>41779</v>
      </c>
      <c r="B80">
        <v>2</v>
      </c>
      <c r="C80">
        <v>314</v>
      </c>
      <c r="D80" t="s">
        <v>21</v>
      </c>
      <c r="E80">
        <v>20</v>
      </c>
      <c r="F80" t="s">
        <v>5</v>
      </c>
      <c r="G80" s="4" t="e">
        <f>IF(MASTER_TABLE[[#This Row],[EMPLOYMENT]]="EMPLOYED", MASTER_TABLE[[#This Row],[actual order]],NA())</f>
        <v>#N/A</v>
      </c>
      <c r="H80" s="4">
        <f>IF(MASTER_TABLE[[#This Row],[EMPLOYMENT]]="UNEMPLOYED", MASTER_TABLE[[#This Row],[actual order]], NA())</f>
        <v>314</v>
      </c>
    </row>
    <row r="81" spans="1:8" x14ac:dyDescent="0.25">
      <c r="A81" s="1">
        <v>41783</v>
      </c>
      <c r="B81">
        <v>2</v>
      </c>
      <c r="C81">
        <v>301</v>
      </c>
      <c r="D81" t="s">
        <v>21</v>
      </c>
      <c r="E81">
        <v>20</v>
      </c>
      <c r="F81" t="s">
        <v>5</v>
      </c>
      <c r="G81" s="4" t="e">
        <f>IF(MASTER_TABLE[[#This Row],[EMPLOYMENT]]="EMPLOYED", MASTER_TABLE[[#This Row],[actual order]],NA())</f>
        <v>#N/A</v>
      </c>
      <c r="H81" s="4">
        <f>IF(MASTER_TABLE[[#This Row],[EMPLOYMENT]]="UNEMPLOYED", MASTER_TABLE[[#This Row],[actual order]], NA())</f>
        <v>301</v>
      </c>
    </row>
    <row r="82" spans="1:8" x14ac:dyDescent="0.25">
      <c r="A82" s="1">
        <v>41784</v>
      </c>
      <c r="B82">
        <v>2</v>
      </c>
      <c r="C82">
        <v>273</v>
      </c>
      <c r="D82" t="s">
        <v>21</v>
      </c>
      <c r="E82">
        <v>20</v>
      </c>
      <c r="F82" t="s">
        <v>5</v>
      </c>
      <c r="G82" s="4" t="e">
        <f>IF(MASTER_TABLE[[#This Row],[EMPLOYMENT]]="EMPLOYED", MASTER_TABLE[[#This Row],[actual order]],NA())</f>
        <v>#N/A</v>
      </c>
      <c r="H82" s="4">
        <f>IF(MASTER_TABLE[[#This Row],[EMPLOYMENT]]="UNEMPLOYED", MASTER_TABLE[[#This Row],[actual order]], NA())</f>
        <v>273</v>
      </c>
    </row>
    <row r="83" spans="1:8" x14ac:dyDescent="0.25">
      <c r="A83" s="1">
        <v>41786</v>
      </c>
      <c r="B83">
        <v>2</v>
      </c>
      <c r="C83">
        <v>266</v>
      </c>
      <c r="D83" t="s">
        <v>21</v>
      </c>
      <c r="E83">
        <v>20</v>
      </c>
      <c r="F83" t="s">
        <v>5</v>
      </c>
      <c r="G83" s="4" t="e">
        <f>IF(MASTER_TABLE[[#This Row],[EMPLOYMENT]]="EMPLOYED", MASTER_TABLE[[#This Row],[actual order]],NA())</f>
        <v>#N/A</v>
      </c>
      <c r="H83" s="4">
        <f>IF(MASTER_TABLE[[#This Row],[EMPLOYMENT]]="UNEMPLOYED", MASTER_TABLE[[#This Row],[actual order]], NA())</f>
        <v>266</v>
      </c>
    </row>
    <row r="84" spans="1:8" x14ac:dyDescent="0.25">
      <c r="A84" s="1">
        <v>41789</v>
      </c>
      <c r="B84">
        <v>2</v>
      </c>
      <c r="C84">
        <v>248</v>
      </c>
      <c r="D84" t="s">
        <v>21</v>
      </c>
      <c r="E84">
        <v>20</v>
      </c>
      <c r="F84" t="s">
        <v>5</v>
      </c>
      <c r="G84" s="4" t="e">
        <f>IF(MASTER_TABLE[[#This Row],[EMPLOYMENT]]="EMPLOYED", MASTER_TABLE[[#This Row],[actual order]],NA())</f>
        <v>#N/A</v>
      </c>
      <c r="H84" s="4">
        <f>IF(MASTER_TABLE[[#This Row],[EMPLOYMENT]]="UNEMPLOYED", MASTER_TABLE[[#This Row],[actual order]], NA())</f>
        <v>248</v>
      </c>
    </row>
    <row r="85" spans="1:8" x14ac:dyDescent="0.25">
      <c r="A85" s="1">
        <v>41794</v>
      </c>
      <c r="B85">
        <v>2</v>
      </c>
      <c r="C85">
        <v>253</v>
      </c>
      <c r="D85" t="s">
        <v>21</v>
      </c>
      <c r="E85">
        <v>20</v>
      </c>
      <c r="F85" t="s">
        <v>5</v>
      </c>
      <c r="G85" s="4" t="e">
        <f>IF(MASTER_TABLE[[#This Row],[EMPLOYMENT]]="EMPLOYED", MASTER_TABLE[[#This Row],[actual order]],NA())</f>
        <v>#N/A</v>
      </c>
      <c r="H85" s="4">
        <f>IF(MASTER_TABLE[[#This Row],[EMPLOYMENT]]="UNEMPLOYED", MASTER_TABLE[[#This Row],[actual order]], NA())</f>
        <v>253</v>
      </c>
    </row>
    <row r="86" spans="1:8" x14ac:dyDescent="0.25">
      <c r="A86" s="1">
        <v>41795</v>
      </c>
      <c r="B86">
        <v>2</v>
      </c>
      <c r="C86">
        <v>282</v>
      </c>
      <c r="D86" t="s">
        <v>21</v>
      </c>
      <c r="E86">
        <v>20</v>
      </c>
      <c r="F86" t="s">
        <v>5</v>
      </c>
      <c r="G86" s="4" t="e">
        <f>IF(MASTER_TABLE[[#This Row],[EMPLOYMENT]]="EMPLOYED", MASTER_TABLE[[#This Row],[actual order]],NA())</f>
        <v>#N/A</v>
      </c>
      <c r="H86" s="4">
        <f>IF(MASTER_TABLE[[#This Row],[EMPLOYMENT]]="UNEMPLOYED", MASTER_TABLE[[#This Row],[actual order]], NA())</f>
        <v>282</v>
      </c>
    </row>
    <row r="87" spans="1:8" x14ac:dyDescent="0.25">
      <c r="A87" s="1">
        <v>41809</v>
      </c>
      <c r="B87">
        <v>2</v>
      </c>
      <c r="C87">
        <v>269</v>
      </c>
      <c r="D87" t="s">
        <v>21</v>
      </c>
      <c r="E87">
        <v>20</v>
      </c>
      <c r="F87" t="s">
        <v>5</v>
      </c>
      <c r="G87" s="4" t="e">
        <f>IF(MASTER_TABLE[[#This Row],[EMPLOYMENT]]="EMPLOYED", MASTER_TABLE[[#This Row],[actual order]],NA())</f>
        <v>#N/A</v>
      </c>
      <c r="H87" s="4">
        <f>IF(MASTER_TABLE[[#This Row],[EMPLOYMENT]]="UNEMPLOYED", MASTER_TABLE[[#This Row],[actual order]], NA())</f>
        <v>269</v>
      </c>
    </row>
    <row r="88" spans="1:8" x14ac:dyDescent="0.25">
      <c r="A88" s="1">
        <v>41811</v>
      </c>
      <c r="B88">
        <v>2</v>
      </c>
      <c r="C88">
        <v>282</v>
      </c>
      <c r="D88" t="s">
        <v>21</v>
      </c>
      <c r="E88">
        <v>20</v>
      </c>
      <c r="F88" t="s">
        <v>5</v>
      </c>
      <c r="G88" s="4" t="e">
        <f>IF(MASTER_TABLE[[#This Row],[EMPLOYMENT]]="EMPLOYED", MASTER_TABLE[[#This Row],[actual order]],NA())</f>
        <v>#N/A</v>
      </c>
      <c r="H88" s="4">
        <f>IF(MASTER_TABLE[[#This Row],[EMPLOYMENT]]="UNEMPLOYED", MASTER_TABLE[[#This Row],[actual order]], NA())</f>
        <v>282</v>
      </c>
    </row>
    <row r="89" spans="1:8" x14ac:dyDescent="0.25">
      <c r="A89" s="1">
        <v>41815</v>
      </c>
      <c r="B89">
        <v>2</v>
      </c>
      <c r="C89">
        <v>269</v>
      </c>
      <c r="D89" t="s">
        <v>21</v>
      </c>
      <c r="E89">
        <v>20</v>
      </c>
      <c r="F89" t="s">
        <v>5</v>
      </c>
      <c r="G89" s="4" t="e">
        <f>IF(MASTER_TABLE[[#This Row],[EMPLOYMENT]]="EMPLOYED", MASTER_TABLE[[#This Row],[actual order]],NA())</f>
        <v>#N/A</v>
      </c>
      <c r="H89" s="4">
        <f>IF(MASTER_TABLE[[#This Row],[EMPLOYMENT]]="UNEMPLOYED", MASTER_TABLE[[#This Row],[actual order]], NA())</f>
        <v>269</v>
      </c>
    </row>
    <row r="90" spans="1:8" x14ac:dyDescent="0.25">
      <c r="A90" s="1">
        <v>41618</v>
      </c>
      <c r="B90">
        <v>3</v>
      </c>
      <c r="C90">
        <v>340</v>
      </c>
      <c r="D90" t="s">
        <v>21</v>
      </c>
      <c r="E90">
        <v>25</v>
      </c>
      <c r="F90" t="s">
        <v>6</v>
      </c>
      <c r="G90" s="4" t="e">
        <f>IF(MASTER_TABLE[[#This Row],[EMPLOYMENT]]="EMPLOYED", MASTER_TABLE[[#This Row],[actual order]],NA())</f>
        <v>#N/A</v>
      </c>
      <c r="H90" s="4">
        <f>IF(MASTER_TABLE[[#This Row],[EMPLOYMENT]]="UNEMPLOYED", MASTER_TABLE[[#This Row],[actual order]], NA())</f>
        <v>340</v>
      </c>
    </row>
    <row r="91" spans="1:8" x14ac:dyDescent="0.25">
      <c r="A91" s="1">
        <v>41619</v>
      </c>
      <c r="B91">
        <v>3</v>
      </c>
      <c r="C91">
        <v>333</v>
      </c>
      <c r="D91" t="s">
        <v>21</v>
      </c>
      <c r="E91">
        <v>25</v>
      </c>
      <c r="F91" t="s">
        <v>6</v>
      </c>
      <c r="G91" s="4" t="e">
        <f>IF(MASTER_TABLE[[#This Row],[EMPLOYMENT]]="EMPLOYED", MASTER_TABLE[[#This Row],[actual order]],NA())</f>
        <v>#N/A</v>
      </c>
      <c r="H91" s="4">
        <f>IF(MASTER_TABLE[[#This Row],[EMPLOYMENT]]="UNEMPLOYED", MASTER_TABLE[[#This Row],[actual order]], NA())</f>
        <v>333</v>
      </c>
    </row>
    <row r="92" spans="1:8" x14ac:dyDescent="0.25">
      <c r="A92" s="1">
        <v>41619</v>
      </c>
      <c r="B92">
        <v>3</v>
      </c>
      <c r="C92">
        <v>343</v>
      </c>
      <c r="D92" t="s">
        <v>21</v>
      </c>
      <c r="E92">
        <v>25</v>
      </c>
      <c r="F92" t="s">
        <v>6</v>
      </c>
      <c r="G92" s="4" t="e">
        <f>IF(MASTER_TABLE[[#This Row],[EMPLOYMENT]]="EMPLOYED", MASTER_TABLE[[#This Row],[actual order]],NA())</f>
        <v>#N/A</v>
      </c>
      <c r="H92" s="4">
        <f>IF(MASTER_TABLE[[#This Row],[EMPLOYMENT]]="UNEMPLOYED", MASTER_TABLE[[#This Row],[actual order]], NA())</f>
        <v>343</v>
      </c>
    </row>
    <row r="93" spans="1:8" x14ac:dyDescent="0.25">
      <c r="A93" s="1">
        <v>41635</v>
      </c>
      <c r="B93">
        <v>3</v>
      </c>
      <c r="C93">
        <v>350</v>
      </c>
      <c r="D93" t="s">
        <v>21</v>
      </c>
      <c r="E93">
        <v>25</v>
      </c>
      <c r="F93" t="s">
        <v>6</v>
      </c>
      <c r="G93" s="4" t="e">
        <f>IF(MASTER_TABLE[[#This Row],[EMPLOYMENT]]="EMPLOYED", MASTER_TABLE[[#This Row],[actual order]],NA())</f>
        <v>#N/A</v>
      </c>
      <c r="H93" s="4">
        <f>IF(MASTER_TABLE[[#This Row],[EMPLOYMENT]]="UNEMPLOYED", MASTER_TABLE[[#This Row],[actual order]], NA())</f>
        <v>350</v>
      </c>
    </row>
    <row r="94" spans="1:8" x14ac:dyDescent="0.25">
      <c r="A94" s="1">
        <v>41636</v>
      </c>
      <c r="B94">
        <v>3</v>
      </c>
      <c r="C94">
        <v>331</v>
      </c>
      <c r="D94" t="s">
        <v>21</v>
      </c>
      <c r="E94">
        <v>25</v>
      </c>
      <c r="F94" t="s">
        <v>6</v>
      </c>
      <c r="G94" s="4" t="e">
        <f>IF(MASTER_TABLE[[#This Row],[EMPLOYMENT]]="EMPLOYED", MASTER_TABLE[[#This Row],[actual order]],NA())</f>
        <v>#N/A</v>
      </c>
      <c r="H94" s="4">
        <f>IF(MASTER_TABLE[[#This Row],[EMPLOYMENT]]="UNEMPLOYED", MASTER_TABLE[[#This Row],[actual order]], NA())</f>
        <v>331</v>
      </c>
    </row>
    <row r="95" spans="1:8" x14ac:dyDescent="0.25">
      <c r="A95" s="1">
        <v>41638</v>
      </c>
      <c r="B95">
        <v>3</v>
      </c>
      <c r="C95">
        <v>299</v>
      </c>
      <c r="D95" t="s">
        <v>21</v>
      </c>
      <c r="E95">
        <v>25</v>
      </c>
      <c r="F95" t="s">
        <v>6</v>
      </c>
      <c r="G95" s="4" t="e">
        <f>IF(MASTER_TABLE[[#This Row],[EMPLOYMENT]]="EMPLOYED", MASTER_TABLE[[#This Row],[actual order]],NA())</f>
        <v>#N/A</v>
      </c>
      <c r="H95" s="4">
        <f>IF(MASTER_TABLE[[#This Row],[EMPLOYMENT]]="UNEMPLOYED", MASTER_TABLE[[#This Row],[actual order]], NA())</f>
        <v>299</v>
      </c>
    </row>
    <row r="96" spans="1:8" x14ac:dyDescent="0.25">
      <c r="A96" s="1">
        <v>41638</v>
      </c>
      <c r="B96">
        <v>3</v>
      </c>
      <c r="C96">
        <v>338</v>
      </c>
      <c r="D96" t="s">
        <v>21</v>
      </c>
      <c r="E96">
        <v>25</v>
      </c>
      <c r="F96" t="s">
        <v>6</v>
      </c>
      <c r="G96" s="4" t="e">
        <f>IF(MASTER_TABLE[[#This Row],[EMPLOYMENT]]="EMPLOYED", MASTER_TABLE[[#This Row],[actual order]],NA())</f>
        <v>#N/A</v>
      </c>
      <c r="H96" s="4">
        <f>IF(MASTER_TABLE[[#This Row],[EMPLOYMENT]]="UNEMPLOYED", MASTER_TABLE[[#This Row],[actual order]], NA())</f>
        <v>338</v>
      </c>
    </row>
    <row r="97" spans="1:8" x14ac:dyDescent="0.25">
      <c r="A97" s="1">
        <v>41640</v>
      </c>
      <c r="B97">
        <v>3</v>
      </c>
      <c r="C97">
        <v>360</v>
      </c>
      <c r="D97" t="s">
        <v>21</v>
      </c>
      <c r="E97">
        <v>25</v>
      </c>
      <c r="F97" t="s">
        <v>6</v>
      </c>
      <c r="G97" s="4" t="e">
        <f>IF(MASTER_TABLE[[#This Row],[EMPLOYMENT]]="EMPLOYED", MASTER_TABLE[[#This Row],[actual order]],NA())</f>
        <v>#N/A</v>
      </c>
      <c r="H97" s="4">
        <f>IF(MASTER_TABLE[[#This Row],[EMPLOYMENT]]="UNEMPLOYED", MASTER_TABLE[[#This Row],[actual order]], NA())</f>
        <v>360</v>
      </c>
    </row>
    <row r="98" spans="1:8" x14ac:dyDescent="0.25">
      <c r="A98" s="1">
        <v>41642</v>
      </c>
      <c r="B98">
        <v>3</v>
      </c>
      <c r="C98">
        <v>316</v>
      </c>
      <c r="D98" t="s">
        <v>21</v>
      </c>
      <c r="E98">
        <v>25</v>
      </c>
      <c r="F98" t="s">
        <v>6</v>
      </c>
      <c r="G98" s="4" t="e">
        <f>IF(MASTER_TABLE[[#This Row],[EMPLOYMENT]]="EMPLOYED", MASTER_TABLE[[#This Row],[actual order]],NA())</f>
        <v>#N/A</v>
      </c>
      <c r="H98" s="4">
        <f>IF(MASTER_TABLE[[#This Row],[EMPLOYMENT]]="UNEMPLOYED", MASTER_TABLE[[#This Row],[actual order]], NA())</f>
        <v>316</v>
      </c>
    </row>
    <row r="99" spans="1:8" x14ac:dyDescent="0.25">
      <c r="A99" s="1">
        <v>41644</v>
      </c>
      <c r="B99">
        <v>3</v>
      </c>
      <c r="C99">
        <v>315</v>
      </c>
      <c r="D99" t="s">
        <v>21</v>
      </c>
      <c r="E99">
        <v>25</v>
      </c>
      <c r="F99" t="s">
        <v>6</v>
      </c>
      <c r="G99" s="4" t="e">
        <f>IF(MASTER_TABLE[[#This Row],[EMPLOYMENT]]="EMPLOYED", MASTER_TABLE[[#This Row],[actual order]],NA())</f>
        <v>#N/A</v>
      </c>
      <c r="H99" s="4">
        <f>IF(MASTER_TABLE[[#This Row],[EMPLOYMENT]]="UNEMPLOYED", MASTER_TABLE[[#This Row],[actual order]], NA())</f>
        <v>315</v>
      </c>
    </row>
    <row r="100" spans="1:8" x14ac:dyDescent="0.25">
      <c r="A100" s="1">
        <v>41644</v>
      </c>
      <c r="B100">
        <v>3</v>
      </c>
      <c r="C100">
        <v>284</v>
      </c>
      <c r="D100" t="s">
        <v>21</v>
      </c>
      <c r="E100">
        <v>25</v>
      </c>
      <c r="F100" t="s">
        <v>6</v>
      </c>
      <c r="G100" s="4" t="e">
        <f>IF(MASTER_TABLE[[#This Row],[EMPLOYMENT]]="EMPLOYED", MASTER_TABLE[[#This Row],[actual order]],NA())</f>
        <v>#N/A</v>
      </c>
      <c r="H100" s="4">
        <f>IF(MASTER_TABLE[[#This Row],[EMPLOYMENT]]="UNEMPLOYED", MASTER_TABLE[[#This Row],[actual order]], NA())</f>
        <v>284</v>
      </c>
    </row>
    <row r="101" spans="1:8" x14ac:dyDescent="0.25">
      <c r="A101" s="1">
        <v>41646</v>
      </c>
      <c r="B101">
        <v>3</v>
      </c>
      <c r="C101">
        <v>324</v>
      </c>
      <c r="D101" t="s">
        <v>21</v>
      </c>
      <c r="E101">
        <v>25</v>
      </c>
      <c r="F101" t="s">
        <v>6</v>
      </c>
      <c r="G101" s="4" t="e">
        <f>IF(MASTER_TABLE[[#This Row],[EMPLOYMENT]]="EMPLOYED", MASTER_TABLE[[#This Row],[actual order]],NA())</f>
        <v>#N/A</v>
      </c>
      <c r="H101" s="4">
        <f>IF(MASTER_TABLE[[#This Row],[EMPLOYMENT]]="UNEMPLOYED", MASTER_TABLE[[#This Row],[actual order]], NA())</f>
        <v>324</v>
      </c>
    </row>
    <row r="102" spans="1:8" x14ac:dyDescent="0.25">
      <c r="A102" s="1">
        <v>41647</v>
      </c>
      <c r="B102">
        <v>3</v>
      </c>
      <c r="C102">
        <v>320</v>
      </c>
      <c r="D102" t="s">
        <v>21</v>
      </c>
      <c r="E102">
        <v>25</v>
      </c>
      <c r="F102" t="s">
        <v>6</v>
      </c>
      <c r="G102" s="4" t="e">
        <f>IF(MASTER_TABLE[[#This Row],[EMPLOYMENT]]="EMPLOYED", MASTER_TABLE[[#This Row],[actual order]],NA())</f>
        <v>#N/A</v>
      </c>
      <c r="H102" s="4">
        <f>IF(MASTER_TABLE[[#This Row],[EMPLOYMENT]]="UNEMPLOYED", MASTER_TABLE[[#This Row],[actual order]], NA())</f>
        <v>320</v>
      </c>
    </row>
    <row r="103" spans="1:8" x14ac:dyDescent="0.25">
      <c r="A103" s="1">
        <v>41651</v>
      </c>
      <c r="B103">
        <v>3</v>
      </c>
      <c r="C103">
        <v>314</v>
      </c>
      <c r="D103" t="s">
        <v>21</v>
      </c>
      <c r="E103">
        <v>25</v>
      </c>
      <c r="F103" t="s">
        <v>6</v>
      </c>
      <c r="G103" s="4" t="e">
        <f>IF(MASTER_TABLE[[#This Row],[EMPLOYMENT]]="EMPLOYED", MASTER_TABLE[[#This Row],[actual order]],NA())</f>
        <v>#N/A</v>
      </c>
      <c r="H103" s="4">
        <f>IF(MASTER_TABLE[[#This Row],[EMPLOYMENT]]="UNEMPLOYED", MASTER_TABLE[[#This Row],[actual order]], NA())</f>
        <v>314</v>
      </c>
    </row>
    <row r="104" spans="1:8" x14ac:dyDescent="0.25">
      <c r="A104" s="1">
        <v>41653</v>
      </c>
      <c r="B104">
        <v>3</v>
      </c>
      <c r="C104">
        <v>338</v>
      </c>
      <c r="D104" t="s">
        <v>21</v>
      </c>
      <c r="E104">
        <v>25</v>
      </c>
      <c r="F104" t="s">
        <v>6</v>
      </c>
      <c r="G104" s="4" t="e">
        <f>IF(MASTER_TABLE[[#This Row],[EMPLOYMENT]]="EMPLOYED", MASTER_TABLE[[#This Row],[actual order]],NA())</f>
        <v>#N/A</v>
      </c>
      <c r="H104" s="4">
        <f>IF(MASTER_TABLE[[#This Row],[EMPLOYMENT]]="UNEMPLOYED", MASTER_TABLE[[#This Row],[actual order]], NA())</f>
        <v>338</v>
      </c>
    </row>
    <row r="105" spans="1:8" x14ac:dyDescent="0.25">
      <c r="A105" s="1">
        <v>41663</v>
      </c>
      <c r="B105">
        <v>3</v>
      </c>
      <c r="C105">
        <v>331</v>
      </c>
      <c r="D105" t="s">
        <v>21</v>
      </c>
      <c r="E105">
        <v>25</v>
      </c>
      <c r="F105" t="s">
        <v>6</v>
      </c>
      <c r="G105" s="4" t="e">
        <f>IF(MASTER_TABLE[[#This Row],[EMPLOYMENT]]="EMPLOYED", MASTER_TABLE[[#This Row],[actual order]],NA())</f>
        <v>#N/A</v>
      </c>
      <c r="H105" s="4">
        <f>IF(MASTER_TABLE[[#This Row],[EMPLOYMENT]]="UNEMPLOYED", MASTER_TABLE[[#This Row],[actual order]], NA())</f>
        <v>331</v>
      </c>
    </row>
    <row r="106" spans="1:8" x14ac:dyDescent="0.25">
      <c r="A106" s="1">
        <v>41666</v>
      </c>
      <c r="B106">
        <v>3</v>
      </c>
      <c r="C106">
        <v>281</v>
      </c>
      <c r="D106" t="s">
        <v>21</v>
      </c>
      <c r="E106">
        <v>25</v>
      </c>
      <c r="F106" t="s">
        <v>6</v>
      </c>
      <c r="G106" s="4" t="e">
        <f>IF(MASTER_TABLE[[#This Row],[EMPLOYMENT]]="EMPLOYED", MASTER_TABLE[[#This Row],[actual order]],NA())</f>
        <v>#N/A</v>
      </c>
      <c r="H106" s="4">
        <f>IF(MASTER_TABLE[[#This Row],[EMPLOYMENT]]="UNEMPLOYED", MASTER_TABLE[[#This Row],[actual order]], NA())</f>
        <v>281</v>
      </c>
    </row>
    <row r="107" spans="1:8" x14ac:dyDescent="0.25">
      <c r="A107" s="1">
        <v>41667</v>
      </c>
      <c r="B107">
        <v>3</v>
      </c>
      <c r="C107">
        <v>287</v>
      </c>
      <c r="D107" t="s">
        <v>21</v>
      </c>
      <c r="E107">
        <v>25</v>
      </c>
      <c r="F107" t="s">
        <v>6</v>
      </c>
      <c r="G107" s="4" t="e">
        <f>IF(MASTER_TABLE[[#This Row],[EMPLOYMENT]]="EMPLOYED", MASTER_TABLE[[#This Row],[actual order]],NA())</f>
        <v>#N/A</v>
      </c>
      <c r="H107" s="4">
        <f>IF(MASTER_TABLE[[#This Row],[EMPLOYMENT]]="UNEMPLOYED", MASTER_TABLE[[#This Row],[actual order]], NA())</f>
        <v>287</v>
      </c>
    </row>
    <row r="108" spans="1:8" x14ac:dyDescent="0.25">
      <c r="A108" s="1">
        <v>41668</v>
      </c>
      <c r="B108">
        <v>3</v>
      </c>
      <c r="C108">
        <v>322</v>
      </c>
      <c r="D108" t="s">
        <v>21</v>
      </c>
      <c r="E108">
        <v>25</v>
      </c>
      <c r="F108" t="s">
        <v>6</v>
      </c>
      <c r="G108" s="4" t="e">
        <f>IF(MASTER_TABLE[[#This Row],[EMPLOYMENT]]="EMPLOYED", MASTER_TABLE[[#This Row],[actual order]],NA())</f>
        <v>#N/A</v>
      </c>
      <c r="H108" s="4">
        <f>IF(MASTER_TABLE[[#This Row],[EMPLOYMENT]]="UNEMPLOYED", MASTER_TABLE[[#This Row],[actual order]], NA())</f>
        <v>322</v>
      </c>
    </row>
    <row r="109" spans="1:8" x14ac:dyDescent="0.25">
      <c r="A109" s="1">
        <v>41678</v>
      </c>
      <c r="B109">
        <v>3</v>
      </c>
      <c r="C109">
        <v>339</v>
      </c>
      <c r="D109" t="s">
        <v>21</v>
      </c>
      <c r="E109">
        <v>25</v>
      </c>
      <c r="F109" t="s">
        <v>6</v>
      </c>
      <c r="G109" s="4" t="e">
        <f>IF(MASTER_TABLE[[#This Row],[EMPLOYMENT]]="EMPLOYED", MASTER_TABLE[[#This Row],[actual order]],NA())</f>
        <v>#N/A</v>
      </c>
      <c r="H109" s="4">
        <f>IF(MASTER_TABLE[[#This Row],[EMPLOYMENT]]="UNEMPLOYED", MASTER_TABLE[[#This Row],[actual order]], NA())</f>
        <v>339</v>
      </c>
    </row>
    <row r="110" spans="1:8" x14ac:dyDescent="0.25">
      <c r="A110" s="1">
        <v>41687</v>
      </c>
      <c r="B110">
        <v>3</v>
      </c>
      <c r="C110">
        <v>272</v>
      </c>
      <c r="D110" t="s">
        <v>21</v>
      </c>
      <c r="E110">
        <v>25</v>
      </c>
      <c r="F110" t="s">
        <v>6</v>
      </c>
      <c r="G110" s="4" t="e">
        <f>IF(MASTER_TABLE[[#This Row],[EMPLOYMENT]]="EMPLOYED", MASTER_TABLE[[#This Row],[actual order]],NA())</f>
        <v>#N/A</v>
      </c>
      <c r="H110" s="4">
        <f>IF(MASTER_TABLE[[#This Row],[EMPLOYMENT]]="UNEMPLOYED", MASTER_TABLE[[#This Row],[actual order]], NA())</f>
        <v>272</v>
      </c>
    </row>
    <row r="111" spans="1:8" x14ac:dyDescent="0.25">
      <c r="A111" s="1">
        <v>41688</v>
      </c>
      <c r="B111">
        <v>3</v>
      </c>
      <c r="C111">
        <v>333</v>
      </c>
      <c r="D111" t="s">
        <v>21</v>
      </c>
      <c r="E111">
        <v>25</v>
      </c>
      <c r="F111" t="s">
        <v>6</v>
      </c>
      <c r="G111" s="4" t="e">
        <f>IF(MASTER_TABLE[[#This Row],[EMPLOYMENT]]="EMPLOYED", MASTER_TABLE[[#This Row],[actual order]],NA())</f>
        <v>#N/A</v>
      </c>
      <c r="H111" s="4">
        <f>IF(MASTER_TABLE[[#This Row],[EMPLOYMENT]]="UNEMPLOYED", MASTER_TABLE[[#This Row],[actual order]], NA())</f>
        <v>333</v>
      </c>
    </row>
    <row r="112" spans="1:8" x14ac:dyDescent="0.25">
      <c r="A112" s="1">
        <v>41690</v>
      </c>
      <c r="B112">
        <v>3</v>
      </c>
      <c r="C112">
        <v>313</v>
      </c>
      <c r="D112" t="s">
        <v>21</v>
      </c>
      <c r="E112">
        <v>25</v>
      </c>
      <c r="F112" t="s">
        <v>6</v>
      </c>
      <c r="G112" s="4" t="e">
        <f>IF(MASTER_TABLE[[#This Row],[EMPLOYMENT]]="EMPLOYED", MASTER_TABLE[[#This Row],[actual order]],NA())</f>
        <v>#N/A</v>
      </c>
      <c r="H112" s="4">
        <f>IF(MASTER_TABLE[[#This Row],[EMPLOYMENT]]="UNEMPLOYED", MASTER_TABLE[[#This Row],[actual order]], NA())</f>
        <v>313</v>
      </c>
    </row>
    <row r="113" spans="1:8" x14ac:dyDescent="0.25">
      <c r="A113" s="1">
        <v>41690</v>
      </c>
      <c r="B113">
        <v>3</v>
      </c>
      <c r="C113">
        <v>277</v>
      </c>
      <c r="D113" t="s">
        <v>21</v>
      </c>
      <c r="E113">
        <v>25</v>
      </c>
      <c r="F113" t="s">
        <v>6</v>
      </c>
      <c r="G113" s="4" t="e">
        <f>IF(MASTER_TABLE[[#This Row],[EMPLOYMENT]]="EMPLOYED", MASTER_TABLE[[#This Row],[actual order]],NA())</f>
        <v>#N/A</v>
      </c>
      <c r="H113" s="4">
        <f>IF(MASTER_TABLE[[#This Row],[EMPLOYMENT]]="UNEMPLOYED", MASTER_TABLE[[#This Row],[actual order]], NA())</f>
        <v>277</v>
      </c>
    </row>
    <row r="114" spans="1:8" x14ac:dyDescent="0.25">
      <c r="A114" s="1">
        <v>41690</v>
      </c>
      <c r="B114">
        <v>3</v>
      </c>
      <c r="C114">
        <v>338</v>
      </c>
      <c r="D114" t="s">
        <v>21</v>
      </c>
      <c r="E114">
        <v>25</v>
      </c>
      <c r="F114" t="s">
        <v>6</v>
      </c>
      <c r="G114" s="4" t="e">
        <f>IF(MASTER_TABLE[[#This Row],[EMPLOYMENT]]="EMPLOYED", MASTER_TABLE[[#This Row],[actual order]],NA())</f>
        <v>#N/A</v>
      </c>
      <c r="H114" s="4">
        <f>IF(MASTER_TABLE[[#This Row],[EMPLOYMENT]]="UNEMPLOYED", MASTER_TABLE[[#This Row],[actual order]], NA())</f>
        <v>338</v>
      </c>
    </row>
    <row r="115" spans="1:8" x14ac:dyDescent="0.25">
      <c r="A115" s="1">
        <v>41692</v>
      </c>
      <c r="B115">
        <v>3</v>
      </c>
      <c r="C115">
        <v>358</v>
      </c>
      <c r="D115" t="s">
        <v>21</v>
      </c>
      <c r="E115">
        <v>25</v>
      </c>
      <c r="F115" t="s">
        <v>6</v>
      </c>
      <c r="G115" s="4" t="e">
        <f>IF(MASTER_TABLE[[#This Row],[EMPLOYMENT]]="EMPLOYED", MASTER_TABLE[[#This Row],[actual order]],NA())</f>
        <v>#N/A</v>
      </c>
      <c r="H115" s="4">
        <f>IF(MASTER_TABLE[[#This Row],[EMPLOYMENT]]="UNEMPLOYED", MASTER_TABLE[[#This Row],[actual order]], NA())</f>
        <v>358</v>
      </c>
    </row>
    <row r="116" spans="1:8" x14ac:dyDescent="0.25">
      <c r="A116" s="1">
        <v>41693</v>
      </c>
      <c r="B116">
        <v>3</v>
      </c>
      <c r="C116">
        <v>312</v>
      </c>
      <c r="D116" t="s">
        <v>21</v>
      </c>
      <c r="E116">
        <v>25</v>
      </c>
      <c r="F116" t="s">
        <v>6</v>
      </c>
      <c r="G116" s="4" t="e">
        <f>IF(MASTER_TABLE[[#This Row],[EMPLOYMENT]]="EMPLOYED", MASTER_TABLE[[#This Row],[actual order]],NA())</f>
        <v>#N/A</v>
      </c>
      <c r="H116" s="4">
        <f>IF(MASTER_TABLE[[#This Row],[EMPLOYMENT]]="UNEMPLOYED", MASTER_TABLE[[#This Row],[actual order]], NA())</f>
        <v>312</v>
      </c>
    </row>
    <row r="117" spans="1:8" x14ac:dyDescent="0.25">
      <c r="A117" s="1">
        <v>41693</v>
      </c>
      <c r="B117">
        <v>3</v>
      </c>
      <c r="C117">
        <v>326</v>
      </c>
      <c r="D117" t="s">
        <v>21</v>
      </c>
      <c r="E117">
        <v>25</v>
      </c>
      <c r="F117" t="s">
        <v>6</v>
      </c>
      <c r="G117" s="4" t="e">
        <f>IF(MASTER_TABLE[[#This Row],[EMPLOYMENT]]="EMPLOYED", MASTER_TABLE[[#This Row],[actual order]],NA())</f>
        <v>#N/A</v>
      </c>
      <c r="H117" s="4">
        <f>IF(MASTER_TABLE[[#This Row],[EMPLOYMENT]]="UNEMPLOYED", MASTER_TABLE[[#This Row],[actual order]], NA())</f>
        <v>326</v>
      </c>
    </row>
    <row r="118" spans="1:8" x14ac:dyDescent="0.25">
      <c r="A118" s="1">
        <v>41695</v>
      </c>
      <c r="B118">
        <v>3</v>
      </c>
      <c r="C118">
        <v>335</v>
      </c>
      <c r="D118" t="s">
        <v>21</v>
      </c>
      <c r="E118">
        <v>25</v>
      </c>
      <c r="F118" t="s">
        <v>6</v>
      </c>
      <c r="G118" s="4" t="e">
        <f>IF(MASTER_TABLE[[#This Row],[EMPLOYMENT]]="EMPLOYED", MASTER_TABLE[[#This Row],[actual order]],NA())</f>
        <v>#N/A</v>
      </c>
      <c r="H118" s="4">
        <f>IF(MASTER_TABLE[[#This Row],[EMPLOYMENT]]="UNEMPLOYED", MASTER_TABLE[[#This Row],[actual order]], NA())</f>
        <v>335</v>
      </c>
    </row>
    <row r="119" spans="1:8" x14ac:dyDescent="0.25">
      <c r="A119" s="1">
        <v>41695</v>
      </c>
      <c r="B119">
        <v>3</v>
      </c>
      <c r="C119">
        <v>328</v>
      </c>
      <c r="D119" t="s">
        <v>21</v>
      </c>
      <c r="E119">
        <v>25</v>
      </c>
      <c r="F119" t="s">
        <v>6</v>
      </c>
      <c r="G119" s="4" t="e">
        <f>IF(MASTER_TABLE[[#This Row],[EMPLOYMENT]]="EMPLOYED", MASTER_TABLE[[#This Row],[actual order]],NA())</f>
        <v>#N/A</v>
      </c>
      <c r="H119" s="4">
        <f>IF(MASTER_TABLE[[#This Row],[EMPLOYMENT]]="UNEMPLOYED", MASTER_TABLE[[#This Row],[actual order]], NA())</f>
        <v>328</v>
      </c>
    </row>
    <row r="120" spans="1:8" x14ac:dyDescent="0.25">
      <c r="A120" s="1">
        <v>41696</v>
      </c>
      <c r="B120">
        <v>3</v>
      </c>
      <c r="C120">
        <v>292</v>
      </c>
      <c r="D120" t="s">
        <v>21</v>
      </c>
      <c r="E120">
        <v>25</v>
      </c>
      <c r="F120" t="s">
        <v>6</v>
      </c>
      <c r="G120" s="4" t="e">
        <f>IF(MASTER_TABLE[[#This Row],[EMPLOYMENT]]="EMPLOYED", MASTER_TABLE[[#This Row],[actual order]],NA())</f>
        <v>#N/A</v>
      </c>
      <c r="H120" s="4">
        <f>IF(MASTER_TABLE[[#This Row],[EMPLOYMENT]]="UNEMPLOYED", MASTER_TABLE[[#This Row],[actual order]], NA())</f>
        <v>292</v>
      </c>
    </row>
    <row r="121" spans="1:8" x14ac:dyDescent="0.25">
      <c r="A121" s="1">
        <v>41717</v>
      </c>
      <c r="B121">
        <v>3</v>
      </c>
      <c r="C121">
        <v>277</v>
      </c>
      <c r="D121" t="s">
        <v>21</v>
      </c>
      <c r="E121">
        <v>25</v>
      </c>
      <c r="F121" t="s">
        <v>6</v>
      </c>
      <c r="G121" s="4" t="e">
        <f>IF(MASTER_TABLE[[#This Row],[EMPLOYMENT]]="EMPLOYED", MASTER_TABLE[[#This Row],[actual order]],NA())</f>
        <v>#N/A</v>
      </c>
      <c r="H121" s="4">
        <f>IF(MASTER_TABLE[[#This Row],[EMPLOYMENT]]="UNEMPLOYED", MASTER_TABLE[[#This Row],[actual order]], NA())</f>
        <v>277</v>
      </c>
    </row>
    <row r="122" spans="1:8" x14ac:dyDescent="0.25">
      <c r="A122" s="1">
        <v>41723</v>
      </c>
      <c r="B122">
        <v>3</v>
      </c>
      <c r="C122">
        <v>331</v>
      </c>
      <c r="D122" t="s">
        <v>21</v>
      </c>
      <c r="E122">
        <v>25</v>
      </c>
      <c r="F122" t="s">
        <v>6</v>
      </c>
      <c r="G122" s="4" t="e">
        <f>IF(MASTER_TABLE[[#This Row],[EMPLOYMENT]]="EMPLOYED", MASTER_TABLE[[#This Row],[actual order]],NA())</f>
        <v>#N/A</v>
      </c>
      <c r="H122" s="4">
        <f>IF(MASTER_TABLE[[#This Row],[EMPLOYMENT]]="UNEMPLOYED", MASTER_TABLE[[#This Row],[actual order]], NA())</f>
        <v>331</v>
      </c>
    </row>
    <row r="123" spans="1:8" x14ac:dyDescent="0.25">
      <c r="A123" s="1">
        <v>41729</v>
      </c>
      <c r="B123">
        <v>3</v>
      </c>
      <c r="C123">
        <v>328</v>
      </c>
      <c r="D123" t="s">
        <v>21</v>
      </c>
      <c r="E123">
        <v>25</v>
      </c>
      <c r="F123" t="s">
        <v>6</v>
      </c>
      <c r="G123" s="4" t="e">
        <f>IF(MASTER_TABLE[[#This Row],[EMPLOYMENT]]="EMPLOYED", MASTER_TABLE[[#This Row],[actual order]],NA())</f>
        <v>#N/A</v>
      </c>
      <c r="H123" s="4">
        <f>IF(MASTER_TABLE[[#This Row],[EMPLOYMENT]]="UNEMPLOYED", MASTER_TABLE[[#This Row],[actual order]], NA())</f>
        <v>328</v>
      </c>
    </row>
    <row r="124" spans="1:8" x14ac:dyDescent="0.25">
      <c r="A124" s="1">
        <v>41731</v>
      </c>
      <c r="B124">
        <v>3</v>
      </c>
      <c r="C124">
        <v>272</v>
      </c>
      <c r="D124" t="s">
        <v>21</v>
      </c>
      <c r="E124">
        <v>25</v>
      </c>
      <c r="F124" t="s">
        <v>6</v>
      </c>
      <c r="G124" s="4" t="e">
        <f>IF(MASTER_TABLE[[#This Row],[EMPLOYMENT]]="EMPLOYED", MASTER_TABLE[[#This Row],[actual order]],NA())</f>
        <v>#N/A</v>
      </c>
      <c r="H124" s="4">
        <f>IF(MASTER_TABLE[[#This Row],[EMPLOYMENT]]="UNEMPLOYED", MASTER_TABLE[[#This Row],[actual order]], NA())</f>
        <v>272</v>
      </c>
    </row>
    <row r="125" spans="1:8" x14ac:dyDescent="0.25">
      <c r="A125" s="1">
        <v>41736</v>
      </c>
      <c r="B125">
        <v>3</v>
      </c>
      <c r="C125">
        <v>301</v>
      </c>
      <c r="D125" t="s">
        <v>21</v>
      </c>
      <c r="E125">
        <v>25</v>
      </c>
      <c r="F125" t="s">
        <v>6</v>
      </c>
      <c r="G125" s="4" t="e">
        <f>IF(MASTER_TABLE[[#This Row],[EMPLOYMENT]]="EMPLOYED", MASTER_TABLE[[#This Row],[actual order]],NA())</f>
        <v>#N/A</v>
      </c>
      <c r="H125" s="4">
        <f>IF(MASTER_TABLE[[#This Row],[EMPLOYMENT]]="UNEMPLOYED", MASTER_TABLE[[#This Row],[actual order]], NA())</f>
        <v>301</v>
      </c>
    </row>
    <row r="126" spans="1:8" x14ac:dyDescent="0.25">
      <c r="A126" s="1">
        <v>41738</v>
      </c>
      <c r="B126">
        <v>3</v>
      </c>
      <c r="C126">
        <v>338</v>
      </c>
      <c r="D126" t="s">
        <v>21</v>
      </c>
      <c r="E126">
        <v>25</v>
      </c>
      <c r="F126" t="s">
        <v>6</v>
      </c>
      <c r="G126" s="4" t="e">
        <f>IF(MASTER_TABLE[[#This Row],[EMPLOYMENT]]="EMPLOYED", MASTER_TABLE[[#This Row],[actual order]],NA())</f>
        <v>#N/A</v>
      </c>
      <c r="H126" s="4">
        <f>IF(MASTER_TABLE[[#This Row],[EMPLOYMENT]]="UNEMPLOYED", MASTER_TABLE[[#This Row],[actual order]], NA())</f>
        <v>338</v>
      </c>
    </row>
    <row r="127" spans="1:8" x14ac:dyDescent="0.25">
      <c r="A127" s="1">
        <v>41748</v>
      </c>
      <c r="B127">
        <v>3</v>
      </c>
      <c r="C127">
        <v>322</v>
      </c>
      <c r="D127" t="s">
        <v>21</v>
      </c>
      <c r="E127">
        <v>25</v>
      </c>
      <c r="F127" t="s">
        <v>6</v>
      </c>
      <c r="G127" s="4" t="e">
        <f>IF(MASTER_TABLE[[#This Row],[EMPLOYMENT]]="EMPLOYED", MASTER_TABLE[[#This Row],[actual order]],NA())</f>
        <v>#N/A</v>
      </c>
      <c r="H127" s="4">
        <f>IF(MASTER_TABLE[[#This Row],[EMPLOYMENT]]="UNEMPLOYED", MASTER_TABLE[[#This Row],[actual order]], NA())</f>
        <v>322</v>
      </c>
    </row>
    <row r="128" spans="1:8" x14ac:dyDescent="0.25">
      <c r="A128" s="1">
        <v>41756</v>
      </c>
      <c r="B128">
        <v>3</v>
      </c>
      <c r="C128">
        <v>357</v>
      </c>
      <c r="D128" t="s">
        <v>21</v>
      </c>
      <c r="E128">
        <v>25</v>
      </c>
      <c r="F128" t="s">
        <v>6</v>
      </c>
      <c r="G128" s="4" t="e">
        <f>IF(MASTER_TABLE[[#This Row],[EMPLOYMENT]]="EMPLOYED", MASTER_TABLE[[#This Row],[actual order]],NA())</f>
        <v>#N/A</v>
      </c>
      <c r="H128" s="4">
        <f>IF(MASTER_TABLE[[#This Row],[EMPLOYMENT]]="UNEMPLOYED", MASTER_TABLE[[#This Row],[actual order]], NA())</f>
        <v>357</v>
      </c>
    </row>
    <row r="129" spans="1:8" x14ac:dyDescent="0.25">
      <c r="A129" s="1">
        <v>41759</v>
      </c>
      <c r="B129">
        <v>3</v>
      </c>
      <c r="C129">
        <v>275</v>
      </c>
      <c r="D129" t="s">
        <v>21</v>
      </c>
      <c r="E129">
        <v>25</v>
      </c>
      <c r="F129" t="s">
        <v>6</v>
      </c>
      <c r="G129" s="4" t="e">
        <f>IF(MASTER_TABLE[[#This Row],[EMPLOYMENT]]="EMPLOYED", MASTER_TABLE[[#This Row],[actual order]],NA())</f>
        <v>#N/A</v>
      </c>
      <c r="H129" s="4">
        <f>IF(MASTER_TABLE[[#This Row],[EMPLOYMENT]]="UNEMPLOYED", MASTER_TABLE[[#This Row],[actual order]], NA())</f>
        <v>275</v>
      </c>
    </row>
    <row r="130" spans="1:8" x14ac:dyDescent="0.25">
      <c r="A130" s="1">
        <v>41766</v>
      </c>
      <c r="B130">
        <v>3</v>
      </c>
      <c r="C130">
        <v>319</v>
      </c>
      <c r="D130" t="s">
        <v>21</v>
      </c>
      <c r="E130">
        <v>25</v>
      </c>
      <c r="F130" t="s">
        <v>6</v>
      </c>
      <c r="G130" s="4" t="e">
        <f>IF(MASTER_TABLE[[#This Row],[EMPLOYMENT]]="EMPLOYED", MASTER_TABLE[[#This Row],[actual order]],NA())</f>
        <v>#N/A</v>
      </c>
      <c r="H130" s="4">
        <f>IF(MASTER_TABLE[[#This Row],[EMPLOYMENT]]="UNEMPLOYED", MASTER_TABLE[[#This Row],[actual order]], NA())</f>
        <v>319</v>
      </c>
    </row>
    <row r="131" spans="1:8" x14ac:dyDescent="0.25">
      <c r="A131" s="1">
        <v>41771</v>
      </c>
      <c r="B131">
        <v>3</v>
      </c>
      <c r="C131">
        <v>281</v>
      </c>
      <c r="D131" t="s">
        <v>21</v>
      </c>
      <c r="E131">
        <v>25</v>
      </c>
      <c r="F131" t="s">
        <v>6</v>
      </c>
      <c r="G131" s="4" t="e">
        <f>IF(MASTER_TABLE[[#This Row],[EMPLOYMENT]]="EMPLOYED", MASTER_TABLE[[#This Row],[actual order]],NA())</f>
        <v>#N/A</v>
      </c>
      <c r="H131" s="4">
        <f>IF(MASTER_TABLE[[#This Row],[EMPLOYMENT]]="UNEMPLOYED", MASTER_TABLE[[#This Row],[actual order]], NA())</f>
        <v>281</v>
      </c>
    </row>
    <row r="132" spans="1:8" x14ac:dyDescent="0.25">
      <c r="A132" s="1">
        <v>41780</v>
      </c>
      <c r="B132">
        <v>3</v>
      </c>
      <c r="C132">
        <v>273</v>
      </c>
      <c r="D132" t="s">
        <v>21</v>
      </c>
      <c r="E132">
        <v>25</v>
      </c>
      <c r="F132" t="s">
        <v>6</v>
      </c>
      <c r="G132" s="4" t="e">
        <f>IF(MASTER_TABLE[[#This Row],[EMPLOYMENT]]="EMPLOYED", MASTER_TABLE[[#This Row],[actual order]],NA())</f>
        <v>#N/A</v>
      </c>
      <c r="H132" s="4">
        <f>IF(MASTER_TABLE[[#This Row],[EMPLOYMENT]]="UNEMPLOYED", MASTER_TABLE[[#This Row],[actual order]], NA())</f>
        <v>273</v>
      </c>
    </row>
    <row r="133" spans="1:8" x14ac:dyDescent="0.25">
      <c r="A133" s="1">
        <v>41787</v>
      </c>
      <c r="B133">
        <v>3</v>
      </c>
      <c r="C133">
        <v>315</v>
      </c>
      <c r="D133" t="s">
        <v>21</v>
      </c>
      <c r="E133">
        <v>25</v>
      </c>
      <c r="F133" t="s">
        <v>6</v>
      </c>
      <c r="G133" s="4" t="e">
        <f>IF(MASTER_TABLE[[#This Row],[EMPLOYMENT]]="EMPLOYED", MASTER_TABLE[[#This Row],[actual order]],NA())</f>
        <v>#N/A</v>
      </c>
      <c r="H133" s="4">
        <f>IF(MASTER_TABLE[[#This Row],[EMPLOYMENT]]="UNEMPLOYED", MASTER_TABLE[[#This Row],[actual order]], NA())</f>
        <v>315</v>
      </c>
    </row>
    <row r="134" spans="1:8" x14ac:dyDescent="0.25">
      <c r="A134" s="1">
        <v>41792</v>
      </c>
      <c r="B134">
        <v>3</v>
      </c>
      <c r="C134">
        <v>341</v>
      </c>
      <c r="D134" t="s">
        <v>21</v>
      </c>
      <c r="E134">
        <v>25</v>
      </c>
      <c r="F134" t="s">
        <v>6</v>
      </c>
      <c r="G134" s="4" t="e">
        <f>IF(MASTER_TABLE[[#This Row],[EMPLOYMENT]]="EMPLOYED", MASTER_TABLE[[#This Row],[actual order]],NA())</f>
        <v>#N/A</v>
      </c>
      <c r="H134" s="4">
        <f>IF(MASTER_TABLE[[#This Row],[EMPLOYMENT]]="UNEMPLOYED", MASTER_TABLE[[#This Row],[actual order]], NA())</f>
        <v>341</v>
      </c>
    </row>
    <row r="135" spans="1:8" x14ac:dyDescent="0.25">
      <c r="A135" s="1">
        <v>41794</v>
      </c>
      <c r="B135">
        <v>3</v>
      </c>
      <c r="C135">
        <v>327</v>
      </c>
      <c r="D135" t="s">
        <v>21</v>
      </c>
      <c r="E135">
        <v>25</v>
      </c>
      <c r="F135" t="s">
        <v>6</v>
      </c>
      <c r="G135" s="4" t="e">
        <f>IF(MASTER_TABLE[[#This Row],[EMPLOYMENT]]="EMPLOYED", MASTER_TABLE[[#This Row],[actual order]],NA())</f>
        <v>#N/A</v>
      </c>
      <c r="H135" s="4">
        <f>IF(MASTER_TABLE[[#This Row],[EMPLOYMENT]]="UNEMPLOYED", MASTER_TABLE[[#This Row],[actual order]], NA())</f>
        <v>327</v>
      </c>
    </row>
    <row r="136" spans="1:8" x14ac:dyDescent="0.25">
      <c r="A136" s="1">
        <v>41796</v>
      </c>
      <c r="B136">
        <v>3</v>
      </c>
      <c r="C136">
        <v>325</v>
      </c>
      <c r="D136" t="s">
        <v>21</v>
      </c>
      <c r="E136">
        <v>25</v>
      </c>
      <c r="F136" t="s">
        <v>6</v>
      </c>
      <c r="G136" s="4" t="e">
        <f>IF(MASTER_TABLE[[#This Row],[EMPLOYMENT]]="EMPLOYED", MASTER_TABLE[[#This Row],[actual order]],NA())</f>
        <v>#N/A</v>
      </c>
      <c r="H136" s="4">
        <f>IF(MASTER_TABLE[[#This Row],[EMPLOYMENT]]="UNEMPLOYED", MASTER_TABLE[[#This Row],[actual order]], NA())</f>
        <v>325</v>
      </c>
    </row>
    <row r="137" spans="1:8" x14ac:dyDescent="0.25">
      <c r="A137" s="1">
        <v>41800</v>
      </c>
      <c r="B137">
        <v>3</v>
      </c>
      <c r="C137">
        <v>312</v>
      </c>
      <c r="D137" t="s">
        <v>21</v>
      </c>
      <c r="E137">
        <v>25</v>
      </c>
      <c r="F137" t="s">
        <v>6</v>
      </c>
      <c r="G137" s="4" t="e">
        <f>IF(MASTER_TABLE[[#This Row],[EMPLOYMENT]]="EMPLOYED", MASTER_TABLE[[#This Row],[actual order]],NA())</f>
        <v>#N/A</v>
      </c>
      <c r="H137" s="4">
        <f>IF(MASTER_TABLE[[#This Row],[EMPLOYMENT]]="UNEMPLOYED", MASTER_TABLE[[#This Row],[actual order]], NA())</f>
        <v>312</v>
      </c>
    </row>
    <row r="138" spans="1:8" x14ac:dyDescent="0.25">
      <c r="A138" s="1">
        <v>41806</v>
      </c>
      <c r="B138">
        <v>3</v>
      </c>
      <c r="C138">
        <v>303</v>
      </c>
      <c r="D138" t="s">
        <v>21</v>
      </c>
      <c r="E138">
        <v>25</v>
      </c>
      <c r="F138" t="s">
        <v>6</v>
      </c>
      <c r="G138" s="4" t="e">
        <f>IF(MASTER_TABLE[[#This Row],[EMPLOYMENT]]="EMPLOYED", MASTER_TABLE[[#This Row],[actual order]],NA())</f>
        <v>#N/A</v>
      </c>
      <c r="H138" s="4">
        <f>IF(MASTER_TABLE[[#This Row],[EMPLOYMENT]]="UNEMPLOYED", MASTER_TABLE[[#This Row],[actual order]], NA())</f>
        <v>303</v>
      </c>
    </row>
    <row r="139" spans="1:8" x14ac:dyDescent="0.25">
      <c r="A139" s="1">
        <v>41816</v>
      </c>
      <c r="B139">
        <v>3</v>
      </c>
      <c r="C139">
        <v>349</v>
      </c>
      <c r="D139" t="s">
        <v>21</v>
      </c>
      <c r="E139">
        <v>25</v>
      </c>
      <c r="F139" t="s">
        <v>6</v>
      </c>
      <c r="G139" s="4" t="e">
        <f>IF(MASTER_TABLE[[#This Row],[EMPLOYMENT]]="EMPLOYED", MASTER_TABLE[[#This Row],[actual order]],NA())</f>
        <v>#N/A</v>
      </c>
      <c r="H139" s="4">
        <f>IF(MASTER_TABLE[[#This Row],[EMPLOYMENT]]="UNEMPLOYED", MASTER_TABLE[[#This Row],[actual order]], NA())</f>
        <v>349</v>
      </c>
    </row>
    <row r="140" spans="1:8" x14ac:dyDescent="0.25">
      <c r="A140" s="1">
        <v>41627</v>
      </c>
      <c r="B140">
        <v>4</v>
      </c>
      <c r="C140">
        <v>298</v>
      </c>
      <c r="D140" t="s">
        <v>20</v>
      </c>
      <c r="E140">
        <v>9</v>
      </c>
      <c r="F140" t="s">
        <v>3</v>
      </c>
      <c r="G140" s="4">
        <f>IF(MASTER_TABLE[[#This Row],[EMPLOYMENT]]="EMPLOYED", MASTER_TABLE[[#This Row],[actual order]],NA())</f>
        <v>298</v>
      </c>
      <c r="H140" s="4" t="e">
        <f>IF(MASTER_TABLE[[#This Row],[EMPLOYMENT]]="UNEMPLOYED", MASTER_TABLE[[#This Row],[actual order]], NA())</f>
        <v>#N/A</v>
      </c>
    </row>
    <row r="141" spans="1:8" x14ac:dyDescent="0.25">
      <c r="A141" s="1">
        <v>41634</v>
      </c>
      <c r="B141">
        <v>4</v>
      </c>
      <c r="C141">
        <v>310</v>
      </c>
      <c r="D141" t="s">
        <v>20</v>
      </c>
      <c r="E141">
        <v>9</v>
      </c>
      <c r="F141" t="s">
        <v>3</v>
      </c>
      <c r="G141" s="4">
        <f>IF(MASTER_TABLE[[#This Row],[EMPLOYMENT]]="EMPLOYED", MASTER_TABLE[[#This Row],[actual order]],NA())</f>
        <v>310</v>
      </c>
      <c r="H141" s="4" t="e">
        <f>IF(MASTER_TABLE[[#This Row],[EMPLOYMENT]]="UNEMPLOYED", MASTER_TABLE[[#This Row],[actual order]], NA())</f>
        <v>#N/A</v>
      </c>
    </row>
    <row r="142" spans="1:8" x14ac:dyDescent="0.25">
      <c r="A142" s="1">
        <v>41643</v>
      </c>
      <c r="B142">
        <v>4</v>
      </c>
      <c r="C142">
        <v>301</v>
      </c>
      <c r="D142" t="s">
        <v>20</v>
      </c>
      <c r="E142">
        <v>9</v>
      </c>
      <c r="F142" t="s">
        <v>3</v>
      </c>
      <c r="G142" s="4">
        <f>IF(MASTER_TABLE[[#This Row],[EMPLOYMENT]]="EMPLOYED", MASTER_TABLE[[#This Row],[actual order]],NA())</f>
        <v>301</v>
      </c>
      <c r="H142" s="4" t="e">
        <f>IF(MASTER_TABLE[[#This Row],[EMPLOYMENT]]="UNEMPLOYED", MASTER_TABLE[[#This Row],[actual order]], NA())</f>
        <v>#N/A</v>
      </c>
    </row>
    <row r="143" spans="1:8" x14ac:dyDescent="0.25">
      <c r="A143" s="1">
        <v>41648</v>
      </c>
      <c r="B143">
        <v>4</v>
      </c>
      <c r="C143">
        <v>327</v>
      </c>
      <c r="D143" t="s">
        <v>20</v>
      </c>
      <c r="E143">
        <v>9</v>
      </c>
      <c r="F143" t="s">
        <v>3</v>
      </c>
      <c r="G143" s="4">
        <f>IF(MASTER_TABLE[[#This Row],[EMPLOYMENT]]="EMPLOYED", MASTER_TABLE[[#This Row],[actual order]],NA())</f>
        <v>327</v>
      </c>
      <c r="H143" s="4" t="e">
        <f>IF(MASTER_TABLE[[#This Row],[EMPLOYMENT]]="UNEMPLOYED", MASTER_TABLE[[#This Row],[actual order]], NA())</f>
        <v>#N/A</v>
      </c>
    </row>
    <row r="144" spans="1:8" x14ac:dyDescent="0.25">
      <c r="A144" s="1">
        <v>41672</v>
      </c>
      <c r="B144">
        <v>4</v>
      </c>
      <c r="C144">
        <v>348</v>
      </c>
      <c r="D144" t="s">
        <v>20</v>
      </c>
      <c r="E144">
        <v>9</v>
      </c>
      <c r="F144" t="s">
        <v>3</v>
      </c>
      <c r="G144" s="4">
        <f>IF(MASTER_TABLE[[#This Row],[EMPLOYMENT]]="EMPLOYED", MASTER_TABLE[[#This Row],[actual order]],NA())</f>
        <v>348</v>
      </c>
      <c r="H144" s="4" t="e">
        <f>IF(MASTER_TABLE[[#This Row],[EMPLOYMENT]]="UNEMPLOYED", MASTER_TABLE[[#This Row],[actual order]], NA())</f>
        <v>#N/A</v>
      </c>
    </row>
    <row r="145" spans="1:8" x14ac:dyDescent="0.25">
      <c r="A145" s="1">
        <v>41705</v>
      </c>
      <c r="B145">
        <v>4</v>
      </c>
      <c r="C145">
        <v>345</v>
      </c>
      <c r="D145" t="s">
        <v>20</v>
      </c>
      <c r="E145">
        <v>9</v>
      </c>
      <c r="F145" t="s">
        <v>3</v>
      </c>
      <c r="G145" s="4">
        <f>IF(MASTER_TABLE[[#This Row],[EMPLOYMENT]]="EMPLOYED", MASTER_TABLE[[#This Row],[actual order]],NA())</f>
        <v>345</v>
      </c>
      <c r="H145" s="4" t="e">
        <f>IF(MASTER_TABLE[[#This Row],[EMPLOYMENT]]="UNEMPLOYED", MASTER_TABLE[[#This Row],[actual order]], NA())</f>
        <v>#N/A</v>
      </c>
    </row>
    <row r="146" spans="1:8" x14ac:dyDescent="0.25">
      <c r="A146" s="1">
        <v>41719</v>
      </c>
      <c r="B146">
        <v>4</v>
      </c>
      <c r="C146">
        <v>312</v>
      </c>
      <c r="D146" t="s">
        <v>20</v>
      </c>
      <c r="E146">
        <v>9</v>
      </c>
      <c r="F146" t="s">
        <v>3</v>
      </c>
      <c r="G146" s="4">
        <f>IF(MASTER_TABLE[[#This Row],[EMPLOYMENT]]="EMPLOYED", MASTER_TABLE[[#This Row],[actual order]],NA())</f>
        <v>312</v>
      </c>
      <c r="H146" s="4" t="e">
        <f>IF(MASTER_TABLE[[#This Row],[EMPLOYMENT]]="UNEMPLOYED", MASTER_TABLE[[#This Row],[actual order]], NA())</f>
        <v>#N/A</v>
      </c>
    </row>
    <row r="147" spans="1:8" x14ac:dyDescent="0.25">
      <c r="A147" s="1">
        <v>41725</v>
      </c>
      <c r="B147">
        <v>4</v>
      </c>
      <c r="C147">
        <v>301</v>
      </c>
      <c r="D147" t="s">
        <v>20</v>
      </c>
      <c r="E147">
        <v>9</v>
      </c>
      <c r="F147" t="s">
        <v>3</v>
      </c>
      <c r="G147" s="4">
        <f>IF(MASTER_TABLE[[#This Row],[EMPLOYMENT]]="EMPLOYED", MASTER_TABLE[[#This Row],[actual order]],NA())</f>
        <v>301</v>
      </c>
      <c r="H147" s="4" t="e">
        <f>IF(MASTER_TABLE[[#This Row],[EMPLOYMENT]]="UNEMPLOYED", MASTER_TABLE[[#This Row],[actual order]], NA())</f>
        <v>#N/A</v>
      </c>
    </row>
    <row r="148" spans="1:8" x14ac:dyDescent="0.25">
      <c r="A148" s="1">
        <v>41742</v>
      </c>
      <c r="B148">
        <v>4</v>
      </c>
      <c r="C148">
        <v>314</v>
      </c>
      <c r="D148" t="s">
        <v>20</v>
      </c>
      <c r="E148">
        <v>9</v>
      </c>
      <c r="F148" t="s">
        <v>3</v>
      </c>
      <c r="G148" s="4">
        <f>IF(MASTER_TABLE[[#This Row],[EMPLOYMENT]]="EMPLOYED", MASTER_TABLE[[#This Row],[actual order]],NA())</f>
        <v>314</v>
      </c>
      <c r="H148" s="4" t="e">
        <f>IF(MASTER_TABLE[[#This Row],[EMPLOYMENT]]="UNEMPLOYED", MASTER_TABLE[[#This Row],[actual order]], NA())</f>
        <v>#N/A</v>
      </c>
    </row>
    <row r="149" spans="1:8" x14ac:dyDescent="0.25">
      <c r="A149" s="1">
        <v>41742</v>
      </c>
      <c r="B149">
        <v>4</v>
      </c>
      <c r="C149">
        <v>302</v>
      </c>
      <c r="D149" t="s">
        <v>20</v>
      </c>
      <c r="E149">
        <v>9</v>
      </c>
      <c r="F149" t="s">
        <v>3</v>
      </c>
      <c r="G149" s="4">
        <f>IF(MASTER_TABLE[[#This Row],[EMPLOYMENT]]="EMPLOYED", MASTER_TABLE[[#This Row],[actual order]],NA())</f>
        <v>302</v>
      </c>
      <c r="H149" s="4" t="e">
        <f>IF(MASTER_TABLE[[#This Row],[EMPLOYMENT]]="UNEMPLOYED", MASTER_TABLE[[#This Row],[actual order]], NA())</f>
        <v>#N/A</v>
      </c>
    </row>
    <row r="150" spans="1:8" x14ac:dyDescent="0.25">
      <c r="A150" s="1">
        <v>41748</v>
      </c>
      <c r="B150">
        <v>4</v>
      </c>
      <c r="C150">
        <v>313</v>
      </c>
      <c r="D150" t="s">
        <v>20</v>
      </c>
      <c r="E150">
        <v>9</v>
      </c>
      <c r="F150" t="s">
        <v>3</v>
      </c>
      <c r="G150" s="4">
        <f>IF(MASTER_TABLE[[#This Row],[EMPLOYMENT]]="EMPLOYED", MASTER_TABLE[[#This Row],[actual order]],NA())</f>
        <v>313</v>
      </c>
      <c r="H150" s="4" t="e">
        <f>IF(MASTER_TABLE[[#This Row],[EMPLOYMENT]]="UNEMPLOYED", MASTER_TABLE[[#This Row],[actual order]], NA())</f>
        <v>#N/A</v>
      </c>
    </row>
    <row r="151" spans="1:8" x14ac:dyDescent="0.25">
      <c r="A151" s="1">
        <v>41756</v>
      </c>
      <c r="B151">
        <v>4</v>
      </c>
      <c r="C151">
        <v>360</v>
      </c>
      <c r="D151" t="s">
        <v>20</v>
      </c>
      <c r="E151">
        <v>9</v>
      </c>
      <c r="F151" t="s">
        <v>3</v>
      </c>
      <c r="G151" s="4">
        <f>IF(MASTER_TABLE[[#This Row],[EMPLOYMENT]]="EMPLOYED", MASTER_TABLE[[#This Row],[actual order]],NA())</f>
        <v>360</v>
      </c>
      <c r="H151" s="4" t="e">
        <f>IF(MASTER_TABLE[[#This Row],[EMPLOYMENT]]="UNEMPLOYED", MASTER_TABLE[[#This Row],[actual order]], NA())</f>
        <v>#N/A</v>
      </c>
    </row>
    <row r="152" spans="1:8" x14ac:dyDescent="0.25">
      <c r="A152" s="1">
        <v>41767</v>
      </c>
      <c r="B152">
        <v>4</v>
      </c>
      <c r="C152">
        <v>333</v>
      </c>
      <c r="D152" t="s">
        <v>20</v>
      </c>
      <c r="E152">
        <v>9</v>
      </c>
      <c r="F152" t="s">
        <v>3</v>
      </c>
      <c r="G152" s="4">
        <f>IF(MASTER_TABLE[[#This Row],[EMPLOYMENT]]="EMPLOYED", MASTER_TABLE[[#This Row],[actual order]],NA())</f>
        <v>333</v>
      </c>
      <c r="H152" s="4" t="e">
        <f>IF(MASTER_TABLE[[#This Row],[EMPLOYMENT]]="UNEMPLOYED", MASTER_TABLE[[#This Row],[actual order]], NA())</f>
        <v>#N/A</v>
      </c>
    </row>
    <row r="153" spans="1:8" x14ac:dyDescent="0.25">
      <c r="A153" s="1">
        <v>41778</v>
      </c>
      <c r="B153">
        <v>4</v>
      </c>
      <c r="C153">
        <v>312</v>
      </c>
      <c r="D153" t="s">
        <v>20</v>
      </c>
      <c r="E153">
        <v>9</v>
      </c>
      <c r="F153" t="s">
        <v>3</v>
      </c>
      <c r="G153" s="4">
        <f>IF(MASTER_TABLE[[#This Row],[EMPLOYMENT]]="EMPLOYED", MASTER_TABLE[[#This Row],[actual order]],NA())</f>
        <v>312</v>
      </c>
      <c r="H153" s="4" t="e">
        <f>IF(MASTER_TABLE[[#This Row],[EMPLOYMENT]]="UNEMPLOYED", MASTER_TABLE[[#This Row],[actual order]], NA())</f>
        <v>#N/A</v>
      </c>
    </row>
    <row r="154" spans="1:8" x14ac:dyDescent="0.25">
      <c r="A154" s="1">
        <v>41785</v>
      </c>
      <c r="B154">
        <v>4</v>
      </c>
      <c r="C154">
        <v>312</v>
      </c>
      <c r="D154" t="s">
        <v>20</v>
      </c>
      <c r="E154">
        <v>9</v>
      </c>
      <c r="F154" t="s">
        <v>3</v>
      </c>
      <c r="G154" s="4">
        <f>IF(MASTER_TABLE[[#This Row],[EMPLOYMENT]]="EMPLOYED", MASTER_TABLE[[#This Row],[actual order]],NA())</f>
        <v>312</v>
      </c>
      <c r="H154" s="4" t="e">
        <f>IF(MASTER_TABLE[[#This Row],[EMPLOYMENT]]="UNEMPLOYED", MASTER_TABLE[[#This Row],[actual order]], NA())</f>
        <v>#N/A</v>
      </c>
    </row>
    <row r="155" spans="1:8" x14ac:dyDescent="0.25">
      <c r="A155" s="1">
        <v>41788</v>
      </c>
      <c r="B155">
        <v>4</v>
      </c>
      <c r="C155">
        <v>353</v>
      </c>
      <c r="D155" t="s">
        <v>20</v>
      </c>
      <c r="E155">
        <v>9</v>
      </c>
      <c r="F155" t="s">
        <v>3</v>
      </c>
      <c r="G155" s="4">
        <f>IF(MASTER_TABLE[[#This Row],[EMPLOYMENT]]="EMPLOYED", MASTER_TABLE[[#This Row],[actual order]],NA())</f>
        <v>353</v>
      </c>
      <c r="H155" s="4" t="e">
        <f>IF(MASTER_TABLE[[#This Row],[EMPLOYMENT]]="UNEMPLOYED", MASTER_TABLE[[#This Row],[actual order]], NA())</f>
        <v>#N/A</v>
      </c>
    </row>
    <row r="156" spans="1:8" x14ac:dyDescent="0.25">
      <c r="A156" s="1">
        <v>41622</v>
      </c>
      <c r="B156">
        <v>5</v>
      </c>
      <c r="C156">
        <v>461</v>
      </c>
      <c r="D156" t="s">
        <v>21</v>
      </c>
      <c r="E156">
        <v>23</v>
      </c>
      <c r="F156" t="s">
        <v>6</v>
      </c>
      <c r="G156" s="4" t="e">
        <f>IF(MASTER_TABLE[[#This Row],[EMPLOYMENT]]="EMPLOYED", MASTER_TABLE[[#This Row],[actual order]],NA())</f>
        <v>#N/A</v>
      </c>
      <c r="H156" s="4">
        <f>IF(MASTER_TABLE[[#This Row],[EMPLOYMENT]]="UNEMPLOYED", MASTER_TABLE[[#This Row],[actual order]], NA())</f>
        <v>461</v>
      </c>
    </row>
    <row r="157" spans="1:8" x14ac:dyDescent="0.25">
      <c r="A157" s="1">
        <v>41623</v>
      </c>
      <c r="B157">
        <v>5</v>
      </c>
      <c r="C157">
        <v>503</v>
      </c>
      <c r="D157" t="s">
        <v>21</v>
      </c>
      <c r="E157">
        <v>23</v>
      </c>
      <c r="F157" t="s">
        <v>6</v>
      </c>
      <c r="G157" s="4" t="e">
        <f>IF(MASTER_TABLE[[#This Row],[EMPLOYMENT]]="EMPLOYED", MASTER_TABLE[[#This Row],[actual order]],NA())</f>
        <v>#N/A</v>
      </c>
      <c r="H157" s="4">
        <f>IF(MASTER_TABLE[[#This Row],[EMPLOYMENT]]="UNEMPLOYED", MASTER_TABLE[[#This Row],[actual order]], NA())</f>
        <v>503</v>
      </c>
    </row>
    <row r="158" spans="1:8" x14ac:dyDescent="0.25">
      <c r="A158" s="1">
        <v>41628</v>
      </c>
      <c r="B158">
        <v>5</v>
      </c>
      <c r="C158">
        <v>503</v>
      </c>
      <c r="D158" t="s">
        <v>21</v>
      </c>
      <c r="E158">
        <v>23</v>
      </c>
      <c r="F158" t="s">
        <v>6</v>
      </c>
      <c r="G158" s="4" t="e">
        <f>IF(MASTER_TABLE[[#This Row],[EMPLOYMENT]]="EMPLOYED", MASTER_TABLE[[#This Row],[actual order]],NA())</f>
        <v>#N/A</v>
      </c>
      <c r="H158" s="4">
        <f>IF(MASTER_TABLE[[#This Row],[EMPLOYMENT]]="UNEMPLOYED", MASTER_TABLE[[#This Row],[actual order]], NA())</f>
        <v>503</v>
      </c>
    </row>
    <row r="159" spans="1:8" x14ac:dyDescent="0.25">
      <c r="A159" s="1">
        <v>41632</v>
      </c>
      <c r="B159">
        <v>5</v>
      </c>
      <c r="C159">
        <v>427</v>
      </c>
      <c r="D159" t="s">
        <v>21</v>
      </c>
      <c r="E159">
        <v>23</v>
      </c>
      <c r="F159" t="s">
        <v>6</v>
      </c>
      <c r="G159" s="4" t="e">
        <f>IF(MASTER_TABLE[[#This Row],[EMPLOYMENT]]="EMPLOYED", MASTER_TABLE[[#This Row],[actual order]],NA())</f>
        <v>#N/A</v>
      </c>
      <c r="H159" s="4">
        <f>IF(MASTER_TABLE[[#This Row],[EMPLOYMENT]]="UNEMPLOYED", MASTER_TABLE[[#This Row],[actual order]], NA())</f>
        <v>427</v>
      </c>
    </row>
    <row r="160" spans="1:8" x14ac:dyDescent="0.25">
      <c r="A160" s="1">
        <v>41636</v>
      </c>
      <c r="B160">
        <v>5</v>
      </c>
      <c r="C160">
        <v>446</v>
      </c>
      <c r="D160" t="s">
        <v>21</v>
      </c>
      <c r="E160">
        <v>23</v>
      </c>
      <c r="F160" t="s">
        <v>6</v>
      </c>
      <c r="G160" s="4" t="e">
        <f>IF(MASTER_TABLE[[#This Row],[EMPLOYMENT]]="EMPLOYED", MASTER_TABLE[[#This Row],[actual order]],NA())</f>
        <v>#N/A</v>
      </c>
      <c r="H160" s="4">
        <f>IF(MASTER_TABLE[[#This Row],[EMPLOYMENT]]="UNEMPLOYED", MASTER_TABLE[[#This Row],[actual order]], NA())</f>
        <v>446</v>
      </c>
    </row>
    <row r="161" spans="1:8" x14ac:dyDescent="0.25">
      <c r="A161" s="1">
        <v>41639</v>
      </c>
      <c r="B161">
        <v>5</v>
      </c>
      <c r="C161">
        <v>492</v>
      </c>
      <c r="D161" t="s">
        <v>21</v>
      </c>
      <c r="E161">
        <v>23</v>
      </c>
      <c r="F161" t="s">
        <v>6</v>
      </c>
      <c r="G161" s="4" t="e">
        <f>IF(MASTER_TABLE[[#This Row],[EMPLOYMENT]]="EMPLOYED", MASTER_TABLE[[#This Row],[actual order]],NA())</f>
        <v>#N/A</v>
      </c>
      <c r="H161" s="4">
        <f>IF(MASTER_TABLE[[#This Row],[EMPLOYMENT]]="UNEMPLOYED", MASTER_TABLE[[#This Row],[actual order]], NA())</f>
        <v>492</v>
      </c>
    </row>
    <row r="162" spans="1:8" x14ac:dyDescent="0.25">
      <c r="A162" s="1">
        <v>41641</v>
      </c>
      <c r="B162">
        <v>5</v>
      </c>
      <c r="C162">
        <v>442</v>
      </c>
      <c r="D162" t="s">
        <v>21</v>
      </c>
      <c r="E162">
        <v>23</v>
      </c>
      <c r="F162" t="s">
        <v>6</v>
      </c>
      <c r="G162" s="4" t="e">
        <f>IF(MASTER_TABLE[[#This Row],[EMPLOYMENT]]="EMPLOYED", MASTER_TABLE[[#This Row],[actual order]],NA())</f>
        <v>#N/A</v>
      </c>
      <c r="H162" s="4">
        <f>IF(MASTER_TABLE[[#This Row],[EMPLOYMENT]]="UNEMPLOYED", MASTER_TABLE[[#This Row],[actual order]], NA())</f>
        <v>442</v>
      </c>
    </row>
    <row r="163" spans="1:8" x14ac:dyDescent="0.25">
      <c r="A163" s="1">
        <v>41642</v>
      </c>
      <c r="B163">
        <v>5</v>
      </c>
      <c r="C163">
        <v>544</v>
      </c>
      <c r="D163" t="s">
        <v>21</v>
      </c>
      <c r="E163">
        <v>23</v>
      </c>
      <c r="F163" t="s">
        <v>6</v>
      </c>
      <c r="G163" s="4" t="e">
        <f>IF(MASTER_TABLE[[#This Row],[EMPLOYMENT]]="EMPLOYED", MASTER_TABLE[[#This Row],[actual order]],NA())</f>
        <v>#N/A</v>
      </c>
      <c r="H163" s="4">
        <f>IF(MASTER_TABLE[[#This Row],[EMPLOYMENT]]="UNEMPLOYED", MASTER_TABLE[[#This Row],[actual order]], NA())</f>
        <v>544</v>
      </c>
    </row>
    <row r="164" spans="1:8" x14ac:dyDescent="0.25">
      <c r="A164" s="1">
        <v>41645</v>
      </c>
      <c r="B164">
        <v>5</v>
      </c>
      <c r="C164">
        <v>466</v>
      </c>
      <c r="D164" t="s">
        <v>21</v>
      </c>
      <c r="E164">
        <v>23</v>
      </c>
      <c r="F164" t="s">
        <v>6</v>
      </c>
      <c r="G164" s="4" t="e">
        <f>IF(MASTER_TABLE[[#This Row],[EMPLOYMENT]]="EMPLOYED", MASTER_TABLE[[#This Row],[actual order]],NA())</f>
        <v>#N/A</v>
      </c>
      <c r="H164" s="4">
        <f>IF(MASTER_TABLE[[#This Row],[EMPLOYMENT]]="UNEMPLOYED", MASTER_TABLE[[#This Row],[actual order]], NA())</f>
        <v>466</v>
      </c>
    </row>
    <row r="165" spans="1:8" x14ac:dyDescent="0.25">
      <c r="A165" s="1">
        <v>41647</v>
      </c>
      <c r="B165">
        <v>5</v>
      </c>
      <c r="C165">
        <v>495</v>
      </c>
      <c r="D165" t="s">
        <v>21</v>
      </c>
      <c r="E165">
        <v>23</v>
      </c>
      <c r="F165" t="s">
        <v>6</v>
      </c>
      <c r="G165" s="4" t="e">
        <f>IF(MASTER_TABLE[[#This Row],[EMPLOYMENT]]="EMPLOYED", MASTER_TABLE[[#This Row],[actual order]],NA())</f>
        <v>#N/A</v>
      </c>
      <c r="H165" s="4">
        <f>IF(MASTER_TABLE[[#This Row],[EMPLOYMENT]]="UNEMPLOYED", MASTER_TABLE[[#This Row],[actual order]], NA())</f>
        <v>495</v>
      </c>
    </row>
    <row r="166" spans="1:8" x14ac:dyDescent="0.25">
      <c r="A166" s="1">
        <v>41662</v>
      </c>
      <c r="B166">
        <v>5</v>
      </c>
      <c r="C166">
        <v>471</v>
      </c>
      <c r="D166" t="s">
        <v>21</v>
      </c>
      <c r="E166">
        <v>23</v>
      </c>
      <c r="F166" t="s">
        <v>6</v>
      </c>
      <c r="G166" s="4" t="e">
        <f>IF(MASTER_TABLE[[#This Row],[EMPLOYMENT]]="EMPLOYED", MASTER_TABLE[[#This Row],[actual order]],NA())</f>
        <v>#N/A</v>
      </c>
      <c r="H166" s="4">
        <f>IF(MASTER_TABLE[[#This Row],[EMPLOYMENT]]="UNEMPLOYED", MASTER_TABLE[[#This Row],[actual order]], NA())</f>
        <v>471</v>
      </c>
    </row>
    <row r="167" spans="1:8" x14ac:dyDescent="0.25">
      <c r="A167" s="1">
        <v>41663</v>
      </c>
      <c r="B167">
        <v>5</v>
      </c>
      <c r="C167">
        <v>454</v>
      </c>
      <c r="D167" t="s">
        <v>21</v>
      </c>
      <c r="E167">
        <v>23</v>
      </c>
      <c r="F167" t="s">
        <v>6</v>
      </c>
      <c r="G167" s="4" t="e">
        <f>IF(MASTER_TABLE[[#This Row],[EMPLOYMENT]]="EMPLOYED", MASTER_TABLE[[#This Row],[actual order]],NA())</f>
        <v>#N/A</v>
      </c>
      <c r="H167" s="4">
        <f>IF(MASTER_TABLE[[#This Row],[EMPLOYMENT]]="UNEMPLOYED", MASTER_TABLE[[#This Row],[actual order]], NA())</f>
        <v>454</v>
      </c>
    </row>
    <row r="168" spans="1:8" x14ac:dyDescent="0.25">
      <c r="A168" s="1">
        <v>41665</v>
      </c>
      <c r="B168">
        <v>5</v>
      </c>
      <c r="C168">
        <v>438</v>
      </c>
      <c r="D168" t="s">
        <v>21</v>
      </c>
      <c r="E168">
        <v>23</v>
      </c>
      <c r="F168" t="s">
        <v>6</v>
      </c>
      <c r="G168" s="4" t="e">
        <f>IF(MASTER_TABLE[[#This Row],[EMPLOYMENT]]="EMPLOYED", MASTER_TABLE[[#This Row],[actual order]],NA())</f>
        <v>#N/A</v>
      </c>
      <c r="H168" s="4">
        <f>IF(MASTER_TABLE[[#This Row],[EMPLOYMENT]]="UNEMPLOYED", MASTER_TABLE[[#This Row],[actual order]], NA())</f>
        <v>438</v>
      </c>
    </row>
    <row r="169" spans="1:8" x14ac:dyDescent="0.25">
      <c r="A169" s="1">
        <v>41669</v>
      </c>
      <c r="B169">
        <v>5</v>
      </c>
      <c r="C169">
        <v>535</v>
      </c>
      <c r="D169" t="s">
        <v>21</v>
      </c>
      <c r="E169">
        <v>23</v>
      </c>
      <c r="F169" t="s">
        <v>6</v>
      </c>
      <c r="G169" s="4" t="e">
        <f>IF(MASTER_TABLE[[#This Row],[EMPLOYMENT]]="EMPLOYED", MASTER_TABLE[[#This Row],[actual order]],NA())</f>
        <v>#N/A</v>
      </c>
      <c r="H169" s="4">
        <f>IF(MASTER_TABLE[[#This Row],[EMPLOYMENT]]="UNEMPLOYED", MASTER_TABLE[[#This Row],[actual order]], NA())</f>
        <v>535</v>
      </c>
    </row>
    <row r="170" spans="1:8" hidden="1" x14ac:dyDescent="0.25">
      <c r="A170" s="1">
        <v>41671</v>
      </c>
      <c r="B170">
        <v>5</v>
      </c>
      <c r="D170" t="s">
        <v>21</v>
      </c>
      <c r="E170">
        <v>23</v>
      </c>
      <c r="F170" t="s">
        <v>6</v>
      </c>
      <c r="G170" s="4" t="e">
        <f>IF(MASTER_TABLE[[#This Row],[EMPLOYMENT]]="EMPLOYED", MASTER_TABLE[[#This Row],[actual order]],NA())</f>
        <v>#N/A</v>
      </c>
      <c r="H170" s="4">
        <f>IF(MASTER_TABLE[[#This Row],[EMPLOYMENT]]="UNEMPLOYED", MASTER_TABLE[[#This Row],[actual order]], NA())</f>
        <v>0</v>
      </c>
    </row>
    <row r="171" spans="1:8" x14ac:dyDescent="0.25">
      <c r="A171" s="1">
        <v>41673</v>
      </c>
      <c r="B171">
        <v>5</v>
      </c>
      <c r="C171">
        <v>538</v>
      </c>
      <c r="D171" t="s">
        <v>21</v>
      </c>
      <c r="E171">
        <v>23</v>
      </c>
      <c r="F171" t="s">
        <v>6</v>
      </c>
      <c r="G171" s="4" t="e">
        <f>IF(MASTER_TABLE[[#This Row],[EMPLOYMENT]]="EMPLOYED", MASTER_TABLE[[#This Row],[actual order]],NA())</f>
        <v>#N/A</v>
      </c>
      <c r="H171" s="4">
        <f>IF(MASTER_TABLE[[#This Row],[EMPLOYMENT]]="UNEMPLOYED", MASTER_TABLE[[#This Row],[actual order]], NA())</f>
        <v>538</v>
      </c>
    </row>
    <row r="172" spans="1:8" x14ac:dyDescent="0.25">
      <c r="A172" s="1">
        <v>41674</v>
      </c>
      <c r="B172">
        <v>5</v>
      </c>
      <c r="C172">
        <v>507</v>
      </c>
      <c r="D172" t="s">
        <v>21</v>
      </c>
      <c r="E172">
        <v>23</v>
      </c>
      <c r="F172" t="s">
        <v>6</v>
      </c>
      <c r="G172" s="4" t="e">
        <f>IF(MASTER_TABLE[[#This Row],[EMPLOYMENT]]="EMPLOYED", MASTER_TABLE[[#This Row],[actual order]],NA())</f>
        <v>#N/A</v>
      </c>
      <c r="H172" s="4">
        <f>IF(MASTER_TABLE[[#This Row],[EMPLOYMENT]]="UNEMPLOYED", MASTER_TABLE[[#This Row],[actual order]], NA())</f>
        <v>507</v>
      </c>
    </row>
    <row r="173" spans="1:8" x14ac:dyDescent="0.25">
      <c r="A173" s="1">
        <v>41675</v>
      </c>
      <c r="B173">
        <v>5</v>
      </c>
      <c r="C173">
        <v>417</v>
      </c>
      <c r="D173" t="s">
        <v>21</v>
      </c>
      <c r="E173">
        <v>23</v>
      </c>
      <c r="F173" t="s">
        <v>6</v>
      </c>
      <c r="G173" s="4" t="e">
        <f>IF(MASTER_TABLE[[#This Row],[EMPLOYMENT]]="EMPLOYED", MASTER_TABLE[[#This Row],[actual order]],NA())</f>
        <v>#N/A</v>
      </c>
      <c r="H173" s="4">
        <f>IF(MASTER_TABLE[[#This Row],[EMPLOYMENT]]="UNEMPLOYED", MASTER_TABLE[[#This Row],[actual order]], NA())</f>
        <v>417</v>
      </c>
    </row>
    <row r="174" spans="1:8" x14ac:dyDescent="0.25">
      <c r="A174" s="1">
        <v>41678</v>
      </c>
      <c r="B174">
        <v>5</v>
      </c>
      <c r="C174">
        <v>461</v>
      </c>
      <c r="D174" t="s">
        <v>21</v>
      </c>
      <c r="E174">
        <v>23</v>
      </c>
      <c r="F174" t="s">
        <v>6</v>
      </c>
      <c r="G174" s="4" t="e">
        <f>IF(MASTER_TABLE[[#This Row],[EMPLOYMENT]]="EMPLOYED", MASTER_TABLE[[#This Row],[actual order]],NA())</f>
        <v>#N/A</v>
      </c>
      <c r="H174" s="4">
        <f>IF(MASTER_TABLE[[#This Row],[EMPLOYMENT]]="UNEMPLOYED", MASTER_TABLE[[#This Row],[actual order]], NA())</f>
        <v>461</v>
      </c>
    </row>
    <row r="175" spans="1:8" x14ac:dyDescent="0.25">
      <c r="A175" s="1">
        <v>41684</v>
      </c>
      <c r="B175">
        <v>5</v>
      </c>
      <c r="C175">
        <v>492</v>
      </c>
      <c r="D175" t="s">
        <v>21</v>
      </c>
      <c r="E175">
        <v>23</v>
      </c>
      <c r="F175" t="s">
        <v>6</v>
      </c>
      <c r="G175" s="4" t="e">
        <f>IF(MASTER_TABLE[[#This Row],[EMPLOYMENT]]="EMPLOYED", MASTER_TABLE[[#This Row],[actual order]],NA())</f>
        <v>#N/A</v>
      </c>
      <c r="H175" s="4">
        <f>IF(MASTER_TABLE[[#This Row],[EMPLOYMENT]]="UNEMPLOYED", MASTER_TABLE[[#This Row],[actual order]], NA())</f>
        <v>492</v>
      </c>
    </row>
    <row r="176" spans="1:8" x14ac:dyDescent="0.25">
      <c r="A176" s="1">
        <v>41686</v>
      </c>
      <c r="B176">
        <v>5</v>
      </c>
      <c r="C176">
        <v>491</v>
      </c>
      <c r="D176" t="s">
        <v>21</v>
      </c>
      <c r="E176">
        <v>23</v>
      </c>
      <c r="F176" t="s">
        <v>6</v>
      </c>
      <c r="G176" s="4" t="e">
        <f>IF(MASTER_TABLE[[#This Row],[EMPLOYMENT]]="EMPLOYED", MASTER_TABLE[[#This Row],[actual order]],NA())</f>
        <v>#N/A</v>
      </c>
      <c r="H176" s="4">
        <f>IF(MASTER_TABLE[[#This Row],[EMPLOYMENT]]="UNEMPLOYED", MASTER_TABLE[[#This Row],[actual order]], NA())</f>
        <v>491</v>
      </c>
    </row>
    <row r="177" spans="1:8" x14ac:dyDescent="0.25">
      <c r="A177" s="1">
        <v>41693</v>
      </c>
      <c r="B177">
        <v>5</v>
      </c>
      <c r="C177">
        <v>529</v>
      </c>
      <c r="D177" t="s">
        <v>21</v>
      </c>
      <c r="E177">
        <v>23</v>
      </c>
      <c r="F177" t="s">
        <v>6</v>
      </c>
      <c r="G177" s="4" t="e">
        <f>IF(MASTER_TABLE[[#This Row],[EMPLOYMENT]]="EMPLOYED", MASTER_TABLE[[#This Row],[actual order]],NA())</f>
        <v>#N/A</v>
      </c>
      <c r="H177" s="4">
        <f>IF(MASTER_TABLE[[#This Row],[EMPLOYMENT]]="UNEMPLOYED", MASTER_TABLE[[#This Row],[actual order]], NA())</f>
        <v>529</v>
      </c>
    </row>
    <row r="178" spans="1:8" x14ac:dyDescent="0.25">
      <c r="A178" s="1">
        <v>41693</v>
      </c>
      <c r="B178">
        <v>5</v>
      </c>
      <c r="C178">
        <v>457</v>
      </c>
      <c r="D178" t="s">
        <v>21</v>
      </c>
      <c r="E178">
        <v>23</v>
      </c>
      <c r="F178" t="s">
        <v>6</v>
      </c>
      <c r="G178" s="4" t="e">
        <f>IF(MASTER_TABLE[[#This Row],[EMPLOYMENT]]="EMPLOYED", MASTER_TABLE[[#This Row],[actual order]],NA())</f>
        <v>#N/A</v>
      </c>
      <c r="H178" s="4">
        <f>IF(MASTER_TABLE[[#This Row],[EMPLOYMENT]]="UNEMPLOYED", MASTER_TABLE[[#This Row],[actual order]], NA())</f>
        <v>457</v>
      </c>
    </row>
    <row r="179" spans="1:8" x14ac:dyDescent="0.25">
      <c r="A179" s="1">
        <v>41703</v>
      </c>
      <c r="B179">
        <v>5</v>
      </c>
      <c r="C179">
        <v>428</v>
      </c>
      <c r="D179" t="s">
        <v>21</v>
      </c>
      <c r="E179">
        <v>23</v>
      </c>
      <c r="F179" t="s">
        <v>6</v>
      </c>
      <c r="G179" s="4" t="e">
        <f>IF(MASTER_TABLE[[#This Row],[EMPLOYMENT]]="EMPLOYED", MASTER_TABLE[[#This Row],[actual order]],NA())</f>
        <v>#N/A</v>
      </c>
      <c r="H179" s="4">
        <f>IF(MASTER_TABLE[[#This Row],[EMPLOYMENT]]="UNEMPLOYED", MASTER_TABLE[[#This Row],[actual order]], NA())</f>
        <v>428</v>
      </c>
    </row>
    <row r="180" spans="1:8" x14ac:dyDescent="0.25">
      <c r="A180" s="1">
        <v>41704</v>
      </c>
      <c r="B180">
        <v>5</v>
      </c>
      <c r="C180">
        <v>503</v>
      </c>
      <c r="D180" t="s">
        <v>21</v>
      </c>
      <c r="E180">
        <v>23</v>
      </c>
      <c r="F180" t="s">
        <v>6</v>
      </c>
      <c r="G180" s="4" t="e">
        <f>IF(MASTER_TABLE[[#This Row],[EMPLOYMENT]]="EMPLOYED", MASTER_TABLE[[#This Row],[actual order]],NA())</f>
        <v>#N/A</v>
      </c>
      <c r="H180" s="4">
        <f>IF(MASTER_TABLE[[#This Row],[EMPLOYMENT]]="UNEMPLOYED", MASTER_TABLE[[#This Row],[actual order]], NA())</f>
        <v>503</v>
      </c>
    </row>
    <row r="181" spans="1:8" x14ac:dyDescent="0.25">
      <c r="A181" s="1">
        <v>41707</v>
      </c>
      <c r="B181">
        <v>5</v>
      </c>
      <c r="C181">
        <v>495</v>
      </c>
      <c r="D181" t="s">
        <v>21</v>
      </c>
      <c r="E181">
        <v>23</v>
      </c>
      <c r="F181" t="s">
        <v>6</v>
      </c>
      <c r="G181" s="4" t="e">
        <f>IF(MASTER_TABLE[[#This Row],[EMPLOYMENT]]="EMPLOYED", MASTER_TABLE[[#This Row],[actual order]],NA())</f>
        <v>#N/A</v>
      </c>
      <c r="H181" s="4">
        <f>IF(MASTER_TABLE[[#This Row],[EMPLOYMENT]]="UNEMPLOYED", MASTER_TABLE[[#This Row],[actual order]], NA())</f>
        <v>495</v>
      </c>
    </row>
    <row r="182" spans="1:8" x14ac:dyDescent="0.25">
      <c r="A182" s="1">
        <v>41714</v>
      </c>
      <c r="B182">
        <v>5</v>
      </c>
      <c r="C182">
        <v>496</v>
      </c>
      <c r="D182" t="s">
        <v>21</v>
      </c>
      <c r="E182">
        <v>23</v>
      </c>
      <c r="F182" t="s">
        <v>6</v>
      </c>
      <c r="G182" s="4" t="e">
        <f>IF(MASTER_TABLE[[#This Row],[EMPLOYMENT]]="EMPLOYED", MASTER_TABLE[[#This Row],[actual order]],NA())</f>
        <v>#N/A</v>
      </c>
      <c r="H182" s="4">
        <f>IF(MASTER_TABLE[[#This Row],[EMPLOYMENT]]="UNEMPLOYED", MASTER_TABLE[[#This Row],[actual order]], NA())</f>
        <v>496</v>
      </c>
    </row>
    <row r="183" spans="1:8" x14ac:dyDescent="0.25">
      <c r="A183" s="1">
        <v>41715</v>
      </c>
      <c r="B183">
        <v>5</v>
      </c>
      <c r="C183">
        <v>492</v>
      </c>
      <c r="D183" t="s">
        <v>21</v>
      </c>
      <c r="E183">
        <v>23</v>
      </c>
      <c r="F183" t="s">
        <v>6</v>
      </c>
      <c r="G183" s="4" t="e">
        <f>IF(MASTER_TABLE[[#This Row],[EMPLOYMENT]]="EMPLOYED", MASTER_TABLE[[#This Row],[actual order]],NA())</f>
        <v>#N/A</v>
      </c>
      <c r="H183" s="4">
        <f>IF(MASTER_TABLE[[#This Row],[EMPLOYMENT]]="UNEMPLOYED", MASTER_TABLE[[#This Row],[actual order]], NA())</f>
        <v>492</v>
      </c>
    </row>
    <row r="184" spans="1:8" x14ac:dyDescent="0.25">
      <c r="A184" s="1">
        <v>41723</v>
      </c>
      <c r="B184">
        <v>5</v>
      </c>
      <c r="C184">
        <v>448</v>
      </c>
      <c r="D184" t="s">
        <v>21</v>
      </c>
      <c r="E184">
        <v>23</v>
      </c>
      <c r="F184" t="s">
        <v>6</v>
      </c>
      <c r="G184" s="4" t="e">
        <f>IF(MASTER_TABLE[[#This Row],[EMPLOYMENT]]="EMPLOYED", MASTER_TABLE[[#This Row],[actual order]],NA())</f>
        <v>#N/A</v>
      </c>
      <c r="H184" s="4">
        <f>IF(MASTER_TABLE[[#This Row],[EMPLOYMENT]]="UNEMPLOYED", MASTER_TABLE[[#This Row],[actual order]], NA())</f>
        <v>448</v>
      </c>
    </row>
    <row r="185" spans="1:8" x14ac:dyDescent="0.25">
      <c r="A185" s="1">
        <v>41736</v>
      </c>
      <c r="B185">
        <v>5</v>
      </c>
      <c r="C185">
        <v>504</v>
      </c>
      <c r="D185" t="s">
        <v>21</v>
      </c>
      <c r="E185">
        <v>23</v>
      </c>
      <c r="F185" t="s">
        <v>6</v>
      </c>
      <c r="G185" s="4" t="e">
        <f>IF(MASTER_TABLE[[#This Row],[EMPLOYMENT]]="EMPLOYED", MASTER_TABLE[[#This Row],[actual order]],NA())</f>
        <v>#N/A</v>
      </c>
      <c r="H185" s="4">
        <f>IF(MASTER_TABLE[[#This Row],[EMPLOYMENT]]="UNEMPLOYED", MASTER_TABLE[[#This Row],[actual order]], NA())</f>
        <v>504</v>
      </c>
    </row>
    <row r="186" spans="1:8" x14ac:dyDescent="0.25">
      <c r="A186" s="1">
        <v>41737</v>
      </c>
      <c r="B186">
        <v>5</v>
      </c>
      <c r="C186">
        <v>483</v>
      </c>
      <c r="D186" t="s">
        <v>21</v>
      </c>
      <c r="E186">
        <v>23</v>
      </c>
      <c r="F186" t="s">
        <v>6</v>
      </c>
      <c r="G186" s="4" t="e">
        <f>IF(MASTER_TABLE[[#This Row],[EMPLOYMENT]]="EMPLOYED", MASTER_TABLE[[#This Row],[actual order]],NA())</f>
        <v>#N/A</v>
      </c>
      <c r="H186" s="4">
        <f>IF(MASTER_TABLE[[#This Row],[EMPLOYMENT]]="UNEMPLOYED", MASTER_TABLE[[#This Row],[actual order]], NA())</f>
        <v>483</v>
      </c>
    </row>
    <row r="187" spans="1:8" x14ac:dyDescent="0.25">
      <c r="A187" s="1">
        <v>41741</v>
      </c>
      <c r="B187">
        <v>5</v>
      </c>
      <c r="C187">
        <v>489</v>
      </c>
      <c r="D187" t="s">
        <v>21</v>
      </c>
      <c r="E187">
        <v>23</v>
      </c>
      <c r="F187" t="s">
        <v>6</v>
      </c>
      <c r="G187" s="4" t="e">
        <f>IF(MASTER_TABLE[[#This Row],[EMPLOYMENT]]="EMPLOYED", MASTER_TABLE[[#This Row],[actual order]],NA())</f>
        <v>#N/A</v>
      </c>
      <c r="H187" s="4">
        <f>IF(MASTER_TABLE[[#This Row],[EMPLOYMENT]]="UNEMPLOYED", MASTER_TABLE[[#This Row],[actual order]], NA())</f>
        <v>489</v>
      </c>
    </row>
    <row r="188" spans="1:8" x14ac:dyDescent="0.25">
      <c r="A188" s="1">
        <v>41748</v>
      </c>
      <c r="B188">
        <v>5</v>
      </c>
      <c r="C188">
        <v>515</v>
      </c>
      <c r="D188" t="s">
        <v>21</v>
      </c>
      <c r="E188">
        <v>23</v>
      </c>
      <c r="F188" t="s">
        <v>6</v>
      </c>
      <c r="G188" s="4" t="e">
        <f>IF(MASTER_TABLE[[#This Row],[EMPLOYMENT]]="EMPLOYED", MASTER_TABLE[[#This Row],[actual order]],NA())</f>
        <v>#N/A</v>
      </c>
      <c r="H188" s="4">
        <f>IF(MASTER_TABLE[[#This Row],[EMPLOYMENT]]="UNEMPLOYED", MASTER_TABLE[[#This Row],[actual order]], NA())</f>
        <v>515</v>
      </c>
    </row>
    <row r="189" spans="1:8" x14ac:dyDescent="0.25">
      <c r="A189" s="1">
        <v>41751</v>
      </c>
      <c r="B189">
        <v>5</v>
      </c>
      <c r="C189">
        <v>469</v>
      </c>
      <c r="D189" t="s">
        <v>21</v>
      </c>
      <c r="E189">
        <v>23</v>
      </c>
      <c r="F189" t="s">
        <v>6</v>
      </c>
      <c r="G189" s="4" t="e">
        <f>IF(MASTER_TABLE[[#This Row],[EMPLOYMENT]]="EMPLOYED", MASTER_TABLE[[#This Row],[actual order]],NA())</f>
        <v>#N/A</v>
      </c>
      <c r="H189" s="4">
        <f>IF(MASTER_TABLE[[#This Row],[EMPLOYMENT]]="UNEMPLOYED", MASTER_TABLE[[#This Row],[actual order]], NA())</f>
        <v>469</v>
      </c>
    </row>
    <row r="190" spans="1:8" x14ac:dyDescent="0.25">
      <c r="A190" s="1">
        <v>41753</v>
      </c>
      <c r="B190">
        <v>5</v>
      </c>
      <c r="C190">
        <v>447</v>
      </c>
      <c r="D190" t="s">
        <v>21</v>
      </c>
      <c r="E190">
        <v>23</v>
      </c>
      <c r="F190" t="s">
        <v>6</v>
      </c>
      <c r="G190" s="4" t="e">
        <f>IF(MASTER_TABLE[[#This Row],[EMPLOYMENT]]="EMPLOYED", MASTER_TABLE[[#This Row],[actual order]],NA())</f>
        <v>#N/A</v>
      </c>
      <c r="H190" s="4">
        <f>IF(MASTER_TABLE[[#This Row],[EMPLOYMENT]]="UNEMPLOYED", MASTER_TABLE[[#This Row],[actual order]], NA())</f>
        <v>447</v>
      </c>
    </row>
    <row r="191" spans="1:8" x14ac:dyDescent="0.25">
      <c r="A191" s="1">
        <v>41754</v>
      </c>
      <c r="B191">
        <v>5</v>
      </c>
      <c r="C191">
        <v>464</v>
      </c>
      <c r="D191" t="s">
        <v>21</v>
      </c>
      <c r="E191">
        <v>23</v>
      </c>
      <c r="F191" t="s">
        <v>6</v>
      </c>
      <c r="G191" s="4" t="e">
        <f>IF(MASTER_TABLE[[#This Row],[EMPLOYMENT]]="EMPLOYED", MASTER_TABLE[[#This Row],[actual order]],NA())</f>
        <v>#N/A</v>
      </c>
      <c r="H191" s="4">
        <f>IF(MASTER_TABLE[[#This Row],[EMPLOYMENT]]="UNEMPLOYED", MASTER_TABLE[[#This Row],[actual order]], NA())</f>
        <v>464</v>
      </c>
    </row>
    <row r="192" spans="1:8" x14ac:dyDescent="0.25">
      <c r="A192" s="1">
        <v>41761</v>
      </c>
      <c r="B192">
        <v>5</v>
      </c>
      <c r="C192">
        <v>489</v>
      </c>
      <c r="D192" t="s">
        <v>21</v>
      </c>
      <c r="E192">
        <v>23</v>
      </c>
      <c r="F192" t="s">
        <v>6</v>
      </c>
      <c r="G192" s="4" t="e">
        <f>IF(MASTER_TABLE[[#This Row],[EMPLOYMENT]]="EMPLOYED", MASTER_TABLE[[#This Row],[actual order]],NA())</f>
        <v>#N/A</v>
      </c>
      <c r="H192" s="4">
        <f>IF(MASTER_TABLE[[#This Row],[EMPLOYMENT]]="UNEMPLOYED", MASTER_TABLE[[#This Row],[actual order]], NA())</f>
        <v>489</v>
      </c>
    </row>
    <row r="193" spans="1:8" x14ac:dyDescent="0.25">
      <c r="A193" s="1">
        <v>41763</v>
      </c>
      <c r="B193">
        <v>5</v>
      </c>
      <c r="C193">
        <v>505</v>
      </c>
      <c r="D193" t="s">
        <v>21</v>
      </c>
      <c r="E193">
        <v>23</v>
      </c>
      <c r="F193" t="s">
        <v>6</v>
      </c>
      <c r="G193" s="4" t="e">
        <f>IF(MASTER_TABLE[[#This Row],[EMPLOYMENT]]="EMPLOYED", MASTER_TABLE[[#This Row],[actual order]],NA())</f>
        <v>#N/A</v>
      </c>
      <c r="H193" s="4">
        <f>IF(MASTER_TABLE[[#This Row],[EMPLOYMENT]]="UNEMPLOYED", MASTER_TABLE[[#This Row],[actual order]], NA())</f>
        <v>505</v>
      </c>
    </row>
    <row r="194" spans="1:8" x14ac:dyDescent="0.25">
      <c r="A194" s="1">
        <v>41763</v>
      </c>
      <c r="B194">
        <v>5</v>
      </c>
      <c r="C194">
        <v>507</v>
      </c>
      <c r="D194" t="s">
        <v>21</v>
      </c>
      <c r="E194">
        <v>23</v>
      </c>
      <c r="F194" t="s">
        <v>6</v>
      </c>
      <c r="G194" s="4" t="e">
        <f>IF(MASTER_TABLE[[#This Row],[EMPLOYMENT]]="EMPLOYED", MASTER_TABLE[[#This Row],[actual order]],NA())</f>
        <v>#N/A</v>
      </c>
      <c r="H194" s="4">
        <f>IF(MASTER_TABLE[[#This Row],[EMPLOYMENT]]="UNEMPLOYED", MASTER_TABLE[[#This Row],[actual order]], NA())</f>
        <v>507</v>
      </c>
    </row>
    <row r="195" spans="1:8" x14ac:dyDescent="0.25">
      <c r="A195" s="1">
        <v>41765</v>
      </c>
      <c r="B195">
        <v>5</v>
      </c>
      <c r="C195">
        <v>455</v>
      </c>
      <c r="D195" t="s">
        <v>21</v>
      </c>
      <c r="E195">
        <v>23</v>
      </c>
      <c r="F195" t="s">
        <v>6</v>
      </c>
      <c r="G195" s="4" t="e">
        <f>IF(MASTER_TABLE[[#This Row],[EMPLOYMENT]]="EMPLOYED", MASTER_TABLE[[#This Row],[actual order]],NA())</f>
        <v>#N/A</v>
      </c>
      <c r="H195" s="4">
        <f>IF(MASTER_TABLE[[#This Row],[EMPLOYMENT]]="UNEMPLOYED", MASTER_TABLE[[#This Row],[actual order]], NA())</f>
        <v>455</v>
      </c>
    </row>
    <row r="196" spans="1:8" x14ac:dyDescent="0.25">
      <c r="A196" s="1">
        <v>41766</v>
      </c>
      <c r="B196">
        <v>5</v>
      </c>
      <c r="C196">
        <v>481</v>
      </c>
      <c r="D196" t="s">
        <v>21</v>
      </c>
      <c r="E196">
        <v>23</v>
      </c>
      <c r="F196" t="s">
        <v>6</v>
      </c>
      <c r="G196" s="4" t="e">
        <f>IF(MASTER_TABLE[[#This Row],[EMPLOYMENT]]="EMPLOYED", MASTER_TABLE[[#This Row],[actual order]],NA())</f>
        <v>#N/A</v>
      </c>
      <c r="H196" s="4">
        <f>IF(MASTER_TABLE[[#This Row],[EMPLOYMENT]]="UNEMPLOYED", MASTER_TABLE[[#This Row],[actual order]], NA())</f>
        <v>481</v>
      </c>
    </row>
    <row r="197" spans="1:8" x14ac:dyDescent="0.25">
      <c r="A197" s="1">
        <v>41772</v>
      </c>
      <c r="B197">
        <v>5</v>
      </c>
      <c r="C197">
        <v>448</v>
      </c>
      <c r="D197" t="s">
        <v>21</v>
      </c>
      <c r="E197">
        <v>23</v>
      </c>
      <c r="F197" t="s">
        <v>6</v>
      </c>
      <c r="G197" s="4" t="e">
        <f>IF(MASTER_TABLE[[#This Row],[EMPLOYMENT]]="EMPLOYED", MASTER_TABLE[[#This Row],[actual order]],NA())</f>
        <v>#N/A</v>
      </c>
      <c r="H197" s="4">
        <f>IF(MASTER_TABLE[[#This Row],[EMPLOYMENT]]="UNEMPLOYED", MASTER_TABLE[[#This Row],[actual order]], NA())</f>
        <v>448</v>
      </c>
    </row>
    <row r="198" spans="1:8" x14ac:dyDescent="0.25">
      <c r="A198" s="1">
        <v>41777</v>
      </c>
      <c r="B198">
        <v>5</v>
      </c>
      <c r="C198">
        <v>497</v>
      </c>
      <c r="D198" t="s">
        <v>21</v>
      </c>
      <c r="E198">
        <v>23</v>
      </c>
      <c r="F198" t="s">
        <v>6</v>
      </c>
      <c r="G198" s="4" t="e">
        <f>IF(MASTER_TABLE[[#This Row],[EMPLOYMENT]]="EMPLOYED", MASTER_TABLE[[#This Row],[actual order]],NA())</f>
        <v>#N/A</v>
      </c>
      <c r="H198" s="4">
        <f>IF(MASTER_TABLE[[#This Row],[EMPLOYMENT]]="UNEMPLOYED", MASTER_TABLE[[#This Row],[actual order]], NA())</f>
        <v>497</v>
      </c>
    </row>
    <row r="199" spans="1:8" x14ac:dyDescent="0.25">
      <c r="A199" s="1">
        <v>41780</v>
      </c>
      <c r="B199">
        <v>5</v>
      </c>
      <c r="C199">
        <v>501</v>
      </c>
      <c r="D199" t="s">
        <v>21</v>
      </c>
      <c r="E199">
        <v>23</v>
      </c>
      <c r="F199" t="s">
        <v>6</v>
      </c>
      <c r="G199" s="4" t="e">
        <f>IF(MASTER_TABLE[[#This Row],[EMPLOYMENT]]="EMPLOYED", MASTER_TABLE[[#This Row],[actual order]],NA())</f>
        <v>#N/A</v>
      </c>
      <c r="H199" s="4">
        <f>IF(MASTER_TABLE[[#This Row],[EMPLOYMENT]]="UNEMPLOYED", MASTER_TABLE[[#This Row],[actual order]], NA())</f>
        <v>501</v>
      </c>
    </row>
    <row r="200" spans="1:8" x14ac:dyDescent="0.25">
      <c r="A200" s="1">
        <v>41793</v>
      </c>
      <c r="B200">
        <v>5</v>
      </c>
      <c r="C200">
        <v>484</v>
      </c>
      <c r="D200" t="s">
        <v>21</v>
      </c>
      <c r="E200">
        <v>23</v>
      </c>
      <c r="F200" t="s">
        <v>6</v>
      </c>
      <c r="G200" s="4" t="e">
        <f>IF(MASTER_TABLE[[#This Row],[EMPLOYMENT]]="EMPLOYED", MASTER_TABLE[[#This Row],[actual order]],NA())</f>
        <v>#N/A</v>
      </c>
      <c r="H200" s="4">
        <f>IF(MASTER_TABLE[[#This Row],[EMPLOYMENT]]="UNEMPLOYED", MASTER_TABLE[[#This Row],[actual order]], NA())</f>
        <v>484</v>
      </c>
    </row>
    <row r="201" spans="1:8" x14ac:dyDescent="0.25">
      <c r="A201" s="1">
        <v>41795</v>
      </c>
      <c r="B201">
        <v>5</v>
      </c>
      <c r="C201">
        <v>541</v>
      </c>
      <c r="D201" t="s">
        <v>21</v>
      </c>
      <c r="E201">
        <v>23</v>
      </c>
      <c r="F201" t="s">
        <v>6</v>
      </c>
      <c r="G201" s="4" t="e">
        <f>IF(MASTER_TABLE[[#This Row],[EMPLOYMENT]]="EMPLOYED", MASTER_TABLE[[#This Row],[actual order]],NA())</f>
        <v>#N/A</v>
      </c>
      <c r="H201" s="4">
        <f>IF(MASTER_TABLE[[#This Row],[EMPLOYMENT]]="UNEMPLOYED", MASTER_TABLE[[#This Row],[actual order]], NA())</f>
        <v>541</v>
      </c>
    </row>
    <row r="202" spans="1:8" x14ac:dyDescent="0.25">
      <c r="A202" s="1">
        <v>41799</v>
      </c>
      <c r="B202">
        <v>5</v>
      </c>
      <c r="C202">
        <v>438</v>
      </c>
      <c r="D202" t="s">
        <v>21</v>
      </c>
      <c r="E202">
        <v>23</v>
      </c>
      <c r="F202" t="s">
        <v>6</v>
      </c>
      <c r="G202" s="4" t="e">
        <f>IF(MASTER_TABLE[[#This Row],[EMPLOYMENT]]="EMPLOYED", MASTER_TABLE[[#This Row],[actual order]],NA())</f>
        <v>#N/A</v>
      </c>
      <c r="H202" s="4">
        <f>IF(MASTER_TABLE[[#This Row],[EMPLOYMENT]]="UNEMPLOYED", MASTER_TABLE[[#This Row],[actual order]], NA())</f>
        <v>438</v>
      </c>
    </row>
    <row r="203" spans="1:8" x14ac:dyDescent="0.25">
      <c r="A203" s="1">
        <v>41804</v>
      </c>
      <c r="B203">
        <v>5</v>
      </c>
      <c r="C203">
        <v>480</v>
      </c>
      <c r="D203" t="s">
        <v>21</v>
      </c>
      <c r="E203">
        <v>23</v>
      </c>
      <c r="F203" t="s">
        <v>6</v>
      </c>
      <c r="G203" s="4" t="e">
        <f>IF(MASTER_TABLE[[#This Row],[EMPLOYMENT]]="EMPLOYED", MASTER_TABLE[[#This Row],[actual order]],NA())</f>
        <v>#N/A</v>
      </c>
      <c r="H203" s="4">
        <f>IF(MASTER_TABLE[[#This Row],[EMPLOYMENT]]="UNEMPLOYED", MASTER_TABLE[[#This Row],[actual order]], NA())</f>
        <v>480</v>
      </c>
    </row>
    <row r="204" spans="1:8" x14ac:dyDescent="0.25">
      <c r="A204" s="1">
        <v>41816</v>
      </c>
      <c r="B204">
        <v>5</v>
      </c>
      <c r="C204">
        <v>550</v>
      </c>
      <c r="D204" t="s">
        <v>21</v>
      </c>
      <c r="E204">
        <v>23</v>
      </c>
      <c r="F204" t="s">
        <v>6</v>
      </c>
      <c r="G204" s="4" t="e">
        <f>IF(MASTER_TABLE[[#This Row],[EMPLOYMENT]]="EMPLOYED", MASTER_TABLE[[#This Row],[actual order]],NA())</f>
        <v>#N/A</v>
      </c>
      <c r="H204" s="4">
        <f>IF(MASTER_TABLE[[#This Row],[EMPLOYMENT]]="UNEMPLOYED", MASTER_TABLE[[#This Row],[actual order]], NA())</f>
        <v>550</v>
      </c>
    </row>
    <row r="205" spans="1:8" x14ac:dyDescent="0.25">
      <c r="A205" s="1">
        <v>41634</v>
      </c>
      <c r="B205">
        <v>6</v>
      </c>
      <c r="C205">
        <v>515</v>
      </c>
      <c r="D205" t="s">
        <v>21</v>
      </c>
      <c r="E205">
        <v>17</v>
      </c>
      <c r="F205" t="s">
        <v>4</v>
      </c>
      <c r="G205" s="4" t="e">
        <f>IF(MASTER_TABLE[[#This Row],[EMPLOYMENT]]="EMPLOYED", MASTER_TABLE[[#This Row],[actual order]],NA())</f>
        <v>#N/A</v>
      </c>
      <c r="H205" s="4">
        <f>IF(MASTER_TABLE[[#This Row],[EMPLOYMENT]]="UNEMPLOYED", MASTER_TABLE[[#This Row],[actual order]], NA())</f>
        <v>515</v>
      </c>
    </row>
    <row r="206" spans="1:8" x14ac:dyDescent="0.25">
      <c r="A206" s="1">
        <v>41640</v>
      </c>
      <c r="B206">
        <v>6</v>
      </c>
      <c r="C206">
        <v>510</v>
      </c>
      <c r="D206" t="s">
        <v>21</v>
      </c>
      <c r="E206">
        <v>17</v>
      </c>
      <c r="F206" t="s">
        <v>4</v>
      </c>
      <c r="G206" s="4" t="e">
        <f>IF(MASTER_TABLE[[#This Row],[EMPLOYMENT]]="EMPLOYED", MASTER_TABLE[[#This Row],[actual order]],NA())</f>
        <v>#N/A</v>
      </c>
      <c r="H206" s="4">
        <f>IF(MASTER_TABLE[[#This Row],[EMPLOYMENT]]="UNEMPLOYED", MASTER_TABLE[[#This Row],[actual order]], NA())</f>
        <v>510</v>
      </c>
    </row>
    <row r="207" spans="1:8" x14ac:dyDescent="0.25">
      <c r="A207" s="1">
        <v>41663</v>
      </c>
      <c r="B207">
        <v>6</v>
      </c>
      <c r="C207">
        <v>489</v>
      </c>
      <c r="D207" t="s">
        <v>21</v>
      </c>
      <c r="E207">
        <v>17</v>
      </c>
      <c r="F207" t="s">
        <v>4</v>
      </c>
      <c r="G207" s="4" t="e">
        <f>IF(MASTER_TABLE[[#This Row],[EMPLOYMENT]]="EMPLOYED", MASTER_TABLE[[#This Row],[actual order]],NA())</f>
        <v>#N/A</v>
      </c>
      <c r="H207" s="4">
        <f>IF(MASTER_TABLE[[#This Row],[EMPLOYMENT]]="UNEMPLOYED", MASTER_TABLE[[#This Row],[actual order]], NA())</f>
        <v>489</v>
      </c>
    </row>
    <row r="208" spans="1:8" x14ac:dyDescent="0.25">
      <c r="A208" s="1">
        <v>41663</v>
      </c>
      <c r="B208">
        <v>6</v>
      </c>
      <c r="C208">
        <v>487</v>
      </c>
      <c r="D208" t="s">
        <v>21</v>
      </c>
      <c r="E208">
        <v>17</v>
      </c>
      <c r="F208" t="s">
        <v>4</v>
      </c>
      <c r="G208" s="4" t="e">
        <f>IF(MASTER_TABLE[[#This Row],[EMPLOYMENT]]="EMPLOYED", MASTER_TABLE[[#This Row],[actual order]],NA())</f>
        <v>#N/A</v>
      </c>
      <c r="H208" s="4">
        <f>IF(MASTER_TABLE[[#This Row],[EMPLOYMENT]]="UNEMPLOYED", MASTER_TABLE[[#This Row],[actual order]], NA())</f>
        <v>487</v>
      </c>
    </row>
    <row r="209" spans="1:8" x14ac:dyDescent="0.25">
      <c r="A209" s="1">
        <v>41666</v>
      </c>
      <c r="B209">
        <v>6</v>
      </c>
      <c r="C209">
        <v>446</v>
      </c>
      <c r="D209" t="s">
        <v>21</v>
      </c>
      <c r="E209">
        <v>17</v>
      </c>
      <c r="F209" t="s">
        <v>4</v>
      </c>
      <c r="G209" s="4" t="e">
        <f>IF(MASTER_TABLE[[#This Row],[EMPLOYMENT]]="EMPLOYED", MASTER_TABLE[[#This Row],[actual order]],NA())</f>
        <v>#N/A</v>
      </c>
      <c r="H209" s="4">
        <f>IF(MASTER_TABLE[[#This Row],[EMPLOYMENT]]="UNEMPLOYED", MASTER_TABLE[[#This Row],[actual order]], NA())</f>
        <v>446</v>
      </c>
    </row>
    <row r="210" spans="1:8" x14ac:dyDescent="0.25">
      <c r="A210" s="1">
        <v>41670</v>
      </c>
      <c r="B210">
        <v>6</v>
      </c>
      <c r="C210">
        <v>458</v>
      </c>
      <c r="D210" t="s">
        <v>21</v>
      </c>
      <c r="E210">
        <v>17</v>
      </c>
      <c r="F210" t="s">
        <v>4</v>
      </c>
      <c r="G210" s="4" t="e">
        <f>IF(MASTER_TABLE[[#This Row],[EMPLOYMENT]]="EMPLOYED", MASTER_TABLE[[#This Row],[actual order]],NA())</f>
        <v>#N/A</v>
      </c>
      <c r="H210" s="4">
        <f>IF(MASTER_TABLE[[#This Row],[EMPLOYMENT]]="UNEMPLOYED", MASTER_TABLE[[#This Row],[actual order]], NA())</f>
        <v>458</v>
      </c>
    </row>
    <row r="211" spans="1:8" x14ac:dyDescent="0.25">
      <c r="A211" s="1">
        <v>41670</v>
      </c>
      <c r="B211">
        <v>6</v>
      </c>
      <c r="C211">
        <v>443</v>
      </c>
      <c r="D211" t="s">
        <v>21</v>
      </c>
      <c r="E211">
        <v>17</v>
      </c>
      <c r="F211" t="s">
        <v>4</v>
      </c>
      <c r="G211" s="4" t="e">
        <f>IF(MASTER_TABLE[[#This Row],[EMPLOYMENT]]="EMPLOYED", MASTER_TABLE[[#This Row],[actual order]],NA())</f>
        <v>#N/A</v>
      </c>
      <c r="H211" s="4">
        <f>IF(MASTER_TABLE[[#This Row],[EMPLOYMENT]]="UNEMPLOYED", MASTER_TABLE[[#This Row],[actual order]], NA())</f>
        <v>443</v>
      </c>
    </row>
    <row r="212" spans="1:8" hidden="1" x14ac:dyDescent="0.25">
      <c r="A212" s="1">
        <v>41671</v>
      </c>
      <c r="B212">
        <v>6</v>
      </c>
      <c r="D212" t="s">
        <v>21</v>
      </c>
      <c r="E212">
        <v>17</v>
      </c>
      <c r="F212" t="s">
        <v>4</v>
      </c>
      <c r="G212" s="4" t="e">
        <f>IF(MASTER_TABLE[[#This Row],[EMPLOYMENT]]="EMPLOYED", MASTER_TABLE[[#This Row],[actual order]],NA())</f>
        <v>#N/A</v>
      </c>
      <c r="H212" s="4">
        <f>IF(MASTER_TABLE[[#This Row],[EMPLOYMENT]]="UNEMPLOYED", MASTER_TABLE[[#This Row],[actual order]], NA())</f>
        <v>0</v>
      </c>
    </row>
    <row r="213" spans="1:8" x14ac:dyDescent="0.25">
      <c r="A213" s="1">
        <v>41672</v>
      </c>
      <c r="B213">
        <v>6</v>
      </c>
      <c r="C213">
        <v>479</v>
      </c>
      <c r="D213" t="s">
        <v>21</v>
      </c>
      <c r="E213">
        <v>17</v>
      </c>
      <c r="F213" t="s">
        <v>4</v>
      </c>
      <c r="G213" s="4" t="e">
        <f>IF(MASTER_TABLE[[#This Row],[EMPLOYMENT]]="EMPLOYED", MASTER_TABLE[[#This Row],[actual order]],NA())</f>
        <v>#N/A</v>
      </c>
      <c r="H213" s="4">
        <f>IF(MASTER_TABLE[[#This Row],[EMPLOYMENT]]="UNEMPLOYED", MASTER_TABLE[[#This Row],[actual order]], NA())</f>
        <v>479</v>
      </c>
    </row>
    <row r="214" spans="1:8" x14ac:dyDescent="0.25">
      <c r="A214" s="1">
        <v>41674</v>
      </c>
      <c r="B214">
        <v>6</v>
      </c>
      <c r="C214">
        <v>452</v>
      </c>
      <c r="D214" t="s">
        <v>21</v>
      </c>
      <c r="E214">
        <v>17</v>
      </c>
      <c r="F214" t="s">
        <v>4</v>
      </c>
      <c r="G214" s="4" t="e">
        <f>IF(MASTER_TABLE[[#This Row],[EMPLOYMENT]]="EMPLOYED", MASTER_TABLE[[#This Row],[actual order]],NA())</f>
        <v>#N/A</v>
      </c>
      <c r="H214" s="4">
        <f>IF(MASTER_TABLE[[#This Row],[EMPLOYMENT]]="UNEMPLOYED", MASTER_TABLE[[#This Row],[actual order]], NA())</f>
        <v>452</v>
      </c>
    </row>
    <row r="215" spans="1:8" x14ac:dyDescent="0.25">
      <c r="A215" s="1">
        <v>41676</v>
      </c>
      <c r="B215">
        <v>6</v>
      </c>
      <c r="C215">
        <v>501</v>
      </c>
      <c r="D215" t="s">
        <v>21</v>
      </c>
      <c r="E215">
        <v>17</v>
      </c>
      <c r="F215" t="s">
        <v>4</v>
      </c>
      <c r="G215" s="4" t="e">
        <f>IF(MASTER_TABLE[[#This Row],[EMPLOYMENT]]="EMPLOYED", MASTER_TABLE[[#This Row],[actual order]],NA())</f>
        <v>#N/A</v>
      </c>
      <c r="H215" s="4">
        <f>IF(MASTER_TABLE[[#This Row],[EMPLOYMENT]]="UNEMPLOYED", MASTER_TABLE[[#This Row],[actual order]], NA())</f>
        <v>501</v>
      </c>
    </row>
    <row r="216" spans="1:8" x14ac:dyDescent="0.25">
      <c r="A216" s="1">
        <v>41677</v>
      </c>
      <c r="B216">
        <v>6</v>
      </c>
      <c r="C216">
        <v>472</v>
      </c>
      <c r="D216" t="s">
        <v>21</v>
      </c>
      <c r="E216">
        <v>17</v>
      </c>
      <c r="F216" t="s">
        <v>4</v>
      </c>
      <c r="G216" s="4" t="e">
        <f>IF(MASTER_TABLE[[#This Row],[EMPLOYMENT]]="EMPLOYED", MASTER_TABLE[[#This Row],[actual order]],NA())</f>
        <v>#N/A</v>
      </c>
      <c r="H216" s="4">
        <f>IF(MASTER_TABLE[[#This Row],[EMPLOYMENT]]="UNEMPLOYED", MASTER_TABLE[[#This Row],[actual order]], NA())</f>
        <v>472</v>
      </c>
    </row>
    <row r="217" spans="1:8" x14ac:dyDescent="0.25">
      <c r="A217" s="1">
        <v>41688</v>
      </c>
      <c r="B217">
        <v>6</v>
      </c>
      <c r="C217">
        <v>454</v>
      </c>
      <c r="D217" t="s">
        <v>21</v>
      </c>
      <c r="E217">
        <v>17</v>
      </c>
      <c r="F217" t="s">
        <v>4</v>
      </c>
      <c r="G217" s="4" t="e">
        <f>IF(MASTER_TABLE[[#This Row],[EMPLOYMENT]]="EMPLOYED", MASTER_TABLE[[#This Row],[actual order]],NA())</f>
        <v>#N/A</v>
      </c>
      <c r="H217" s="4">
        <f>IF(MASTER_TABLE[[#This Row],[EMPLOYMENT]]="UNEMPLOYED", MASTER_TABLE[[#This Row],[actual order]], NA())</f>
        <v>454</v>
      </c>
    </row>
    <row r="218" spans="1:8" x14ac:dyDescent="0.25">
      <c r="A218" s="1">
        <v>41689</v>
      </c>
      <c r="B218">
        <v>6</v>
      </c>
      <c r="C218">
        <v>446</v>
      </c>
      <c r="D218" t="s">
        <v>21</v>
      </c>
      <c r="E218">
        <v>17</v>
      </c>
      <c r="F218" t="s">
        <v>4</v>
      </c>
      <c r="G218" s="4" t="e">
        <f>IF(MASTER_TABLE[[#This Row],[EMPLOYMENT]]="EMPLOYED", MASTER_TABLE[[#This Row],[actual order]],NA())</f>
        <v>#N/A</v>
      </c>
      <c r="H218" s="4">
        <f>IF(MASTER_TABLE[[#This Row],[EMPLOYMENT]]="UNEMPLOYED", MASTER_TABLE[[#This Row],[actual order]], NA())</f>
        <v>446</v>
      </c>
    </row>
    <row r="219" spans="1:8" x14ac:dyDescent="0.25">
      <c r="A219" s="1">
        <v>41692</v>
      </c>
      <c r="B219">
        <v>6</v>
      </c>
      <c r="C219">
        <v>486</v>
      </c>
      <c r="D219" t="s">
        <v>21</v>
      </c>
      <c r="E219">
        <v>17</v>
      </c>
      <c r="F219" t="s">
        <v>4</v>
      </c>
      <c r="G219" s="4" t="e">
        <f>IF(MASTER_TABLE[[#This Row],[EMPLOYMENT]]="EMPLOYED", MASTER_TABLE[[#This Row],[actual order]],NA())</f>
        <v>#N/A</v>
      </c>
      <c r="H219" s="4">
        <f>IF(MASTER_TABLE[[#This Row],[EMPLOYMENT]]="UNEMPLOYED", MASTER_TABLE[[#This Row],[actual order]], NA())</f>
        <v>486</v>
      </c>
    </row>
    <row r="220" spans="1:8" x14ac:dyDescent="0.25">
      <c r="A220" s="1">
        <v>41692</v>
      </c>
      <c r="B220">
        <v>6</v>
      </c>
      <c r="C220">
        <v>497</v>
      </c>
      <c r="D220" t="s">
        <v>21</v>
      </c>
      <c r="E220">
        <v>17</v>
      </c>
      <c r="F220" t="s">
        <v>4</v>
      </c>
      <c r="G220" s="4" t="e">
        <f>IF(MASTER_TABLE[[#This Row],[EMPLOYMENT]]="EMPLOYED", MASTER_TABLE[[#This Row],[actual order]],NA())</f>
        <v>#N/A</v>
      </c>
      <c r="H220" s="4">
        <f>IF(MASTER_TABLE[[#This Row],[EMPLOYMENT]]="UNEMPLOYED", MASTER_TABLE[[#This Row],[actual order]], NA())</f>
        <v>497</v>
      </c>
    </row>
    <row r="221" spans="1:8" x14ac:dyDescent="0.25">
      <c r="A221" s="1">
        <v>41695</v>
      </c>
      <c r="B221">
        <v>6</v>
      </c>
      <c r="C221">
        <v>415</v>
      </c>
      <c r="D221" t="s">
        <v>21</v>
      </c>
      <c r="E221">
        <v>17</v>
      </c>
      <c r="F221" t="s">
        <v>4</v>
      </c>
      <c r="G221" s="4" t="e">
        <f>IF(MASTER_TABLE[[#This Row],[EMPLOYMENT]]="EMPLOYED", MASTER_TABLE[[#This Row],[actual order]],NA())</f>
        <v>#N/A</v>
      </c>
      <c r="H221" s="4">
        <f>IF(MASTER_TABLE[[#This Row],[EMPLOYMENT]]="UNEMPLOYED", MASTER_TABLE[[#This Row],[actual order]], NA())</f>
        <v>415</v>
      </c>
    </row>
    <row r="222" spans="1:8" x14ac:dyDescent="0.25">
      <c r="A222" s="1">
        <v>41696</v>
      </c>
      <c r="B222">
        <v>6</v>
      </c>
      <c r="C222">
        <v>471</v>
      </c>
      <c r="D222" t="s">
        <v>21</v>
      </c>
      <c r="E222">
        <v>17</v>
      </c>
      <c r="F222" t="s">
        <v>4</v>
      </c>
      <c r="G222" s="4" t="e">
        <f>IF(MASTER_TABLE[[#This Row],[EMPLOYMENT]]="EMPLOYED", MASTER_TABLE[[#This Row],[actual order]],NA())</f>
        <v>#N/A</v>
      </c>
      <c r="H222" s="4">
        <f>IF(MASTER_TABLE[[#This Row],[EMPLOYMENT]]="UNEMPLOYED", MASTER_TABLE[[#This Row],[actual order]], NA())</f>
        <v>471</v>
      </c>
    </row>
    <row r="223" spans="1:8" x14ac:dyDescent="0.25">
      <c r="A223" s="1">
        <v>41699</v>
      </c>
      <c r="B223">
        <v>6</v>
      </c>
      <c r="C223">
        <v>549</v>
      </c>
      <c r="D223" t="s">
        <v>21</v>
      </c>
      <c r="E223">
        <v>17</v>
      </c>
      <c r="F223" t="s">
        <v>4</v>
      </c>
      <c r="G223" s="4" t="e">
        <f>IF(MASTER_TABLE[[#This Row],[EMPLOYMENT]]="EMPLOYED", MASTER_TABLE[[#This Row],[actual order]],NA())</f>
        <v>#N/A</v>
      </c>
      <c r="H223" s="4">
        <f>IF(MASTER_TABLE[[#This Row],[EMPLOYMENT]]="UNEMPLOYED", MASTER_TABLE[[#This Row],[actual order]], NA())</f>
        <v>549</v>
      </c>
    </row>
    <row r="224" spans="1:8" x14ac:dyDescent="0.25">
      <c r="A224" s="1">
        <v>41703</v>
      </c>
      <c r="B224">
        <v>6</v>
      </c>
      <c r="C224">
        <v>451</v>
      </c>
      <c r="D224" t="s">
        <v>21</v>
      </c>
      <c r="E224">
        <v>17</v>
      </c>
      <c r="F224" t="s">
        <v>4</v>
      </c>
      <c r="G224" s="4" t="e">
        <f>IF(MASTER_TABLE[[#This Row],[EMPLOYMENT]]="EMPLOYED", MASTER_TABLE[[#This Row],[actual order]],NA())</f>
        <v>#N/A</v>
      </c>
      <c r="H224" s="4">
        <f>IF(MASTER_TABLE[[#This Row],[EMPLOYMENT]]="UNEMPLOYED", MASTER_TABLE[[#This Row],[actual order]], NA())</f>
        <v>451</v>
      </c>
    </row>
    <row r="225" spans="1:8" x14ac:dyDescent="0.25">
      <c r="A225" s="1">
        <v>41705</v>
      </c>
      <c r="B225">
        <v>6</v>
      </c>
      <c r="C225">
        <v>534</v>
      </c>
      <c r="D225" t="s">
        <v>21</v>
      </c>
      <c r="E225">
        <v>17</v>
      </c>
      <c r="F225" t="s">
        <v>4</v>
      </c>
      <c r="G225" s="4" t="e">
        <f>IF(MASTER_TABLE[[#This Row],[EMPLOYMENT]]="EMPLOYED", MASTER_TABLE[[#This Row],[actual order]],NA())</f>
        <v>#N/A</v>
      </c>
      <c r="H225" s="4">
        <f>IF(MASTER_TABLE[[#This Row],[EMPLOYMENT]]="UNEMPLOYED", MASTER_TABLE[[#This Row],[actual order]], NA())</f>
        <v>534</v>
      </c>
    </row>
    <row r="226" spans="1:8" x14ac:dyDescent="0.25">
      <c r="A226" s="1">
        <v>41719</v>
      </c>
      <c r="B226">
        <v>6</v>
      </c>
      <c r="C226">
        <v>497</v>
      </c>
      <c r="D226" t="s">
        <v>21</v>
      </c>
      <c r="E226">
        <v>17</v>
      </c>
      <c r="F226" t="s">
        <v>4</v>
      </c>
      <c r="G226" s="4" t="e">
        <f>IF(MASTER_TABLE[[#This Row],[EMPLOYMENT]]="EMPLOYED", MASTER_TABLE[[#This Row],[actual order]],NA())</f>
        <v>#N/A</v>
      </c>
      <c r="H226" s="4">
        <f>IF(MASTER_TABLE[[#This Row],[EMPLOYMENT]]="UNEMPLOYED", MASTER_TABLE[[#This Row],[actual order]], NA())</f>
        <v>497</v>
      </c>
    </row>
    <row r="227" spans="1:8" x14ac:dyDescent="0.25">
      <c r="A227" s="1">
        <v>41725</v>
      </c>
      <c r="B227">
        <v>6</v>
      </c>
      <c r="C227">
        <v>444</v>
      </c>
      <c r="D227" t="s">
        <v>21</v>
      </c>
      <c r="E227">
        <v>17</v>
      </c>
      <c r="F227" t="s">
        <v>4</v>
      </c>
      <c r="G227" s="4" t="e">
        <f>IF(MASTER_TABLE[[#This Row],[EMPLOYMENT]]="EMPLOYED", MASTER_TABLE[[#This Row],[actual order]],NA())</f>
        <v>#N/A</v>
      </c>
      <c r="H227" s="4">
        <f>IF(MASTER_TABLE[[#This Row],[EMPLOYMENT]]="UNEMPLOYED", MASTER_TABLE[[#This Row],[actual order]], NA())</f>
        <v>444</v>
      </c>
    </row>
    <row r="228" spans="1:8" x14ac:dyDescent="0.25">
      <c r="A228" s="1">
        <v>41729</v>
      </c>
      <c r="B228">
        <v>6</v>
      </c>
      <c r="C228">
        <v>418</v>
      </c>
      <c r="D228" t="s">
        <v>21</v>
      </c>
      <c r="E228">
        <v>17</v>
      </c>
      <c r="F228" t="s">
        <v>4</v>
      </c>
      <c r="G228" s="4" t="e">
        <f>IF(MASTER_TABLE[[#This Row],[EMPLOYMENT]]="EMPLOYED", MASTER_TABLE[[#This Row],[actual order]],NA())</f>
        <v>#N/A</v>
      </c>
      <c r="H228" s="4">
        <f>IF(MASTER_TABLE[[#This Row],[EMPLOYMENT]]="UNEMPLOYED", MASTER_TABLE[[#This Row],[actual order]], NA())</f>
        <v>418</v>
      </c>
    </row>
    <row r="229" spans="1:8" x14ac:dyDescent="0.25">
      <c r="A229" s="1">
        <v>41731</v>
      </c>
      <c r="B229">
        <v>6</v>
      </c>
      <c r="C229">
        <v>483</v>
      </c>
      <c r="D229" t="s">
        <v>21</v>
      </c>
      <c r="E229">
        <v>17</v>
      </c>
      <c r="F229" t="s">
        <v>4</v>
      </c>
      <c r="G229" s="4" t="e">
        <f>IF(MASTER_TABLE[[#This Row],[EMPLOYMENT]]="EMPLOYED", MASTER_TABLE[[#This Row],[actual order]],NA())</f>
        <v>#N/A</v>
      </c>
      <c r="H229" s="4">
        <f>IF(MASTER_TABLE[[#This Row],[EMPLOYMENT]]="UNEMPLOYED", MASTER_TABLE[[#This Row],[actual order]], NA())</f>
        <v>483</v>
      </c>
    </row>
    <row r="230" spans="1:8" x14ac:dyDescent="0.25">
      <c r="A230" s="1">
        <v>41733</v>
      </c>
      <c r="B230">
        <v>6</v>
      </c>
      <c r="C230">
        <v>491</v>
      </c>
      <c r="D230" t="s">
        <v>21</v>
      </c>
      <c r="E230">
        <v>17</v>
      </c>
      <c r="F230" t="s">
        <v>4</v>
      </c>
      <c r="G230" s="4" t="e">
        <f>IF(MASTER_TABLE[[#This Row],[EMPLOYMENT]]="EMPLOYED", MASTER_TABLE[[#This Row],[actual order]],NA())</f>
        <v>#N/A</v>
      </c>
      <c r="H230" s="4">
        <f>IF(MASTER_TABLE[[#This Row],[EMPLOYMENT]]="UNEMPLOYED", MASTER_TABLE[[#This Row],[actual order]], NA())</f>
        <v>491</v>
      </c>
    </row>
    <row r="231" spans="1:8" x14ac:dyDescent="0.25">
      <c r="A231" s="1">
        <v>41742</v>
      </c>
      <c r="B231">
        <v>6</v>
      </c>
      <c r="C231">
        <v>436</v>
      </c>
      <c r="D231" t="s">
        <v>21</v>
      </c>
      <c r="E231">
        <v>17</v>
      </c>
      <c r="F231" t="s">
        <v>4</v>
      </c>
      <c r="G231" s="4" t="e">
        <f>IF(MASTER_TABLE[[#This Row],[EMPLOYMENT]]="EMPLOYED", MASTER_TABLE[[#This Row],[actual order]],NA())</f>
        <v>#N/A</v>
      </c>
      <c r="H231" s="4">
        <f>IF(MASTER_TABLE[[#This Row],[EMPLOYMENT]]="UNEMPLOYED", MASTER_TABLE[[#This Row],[actual order]], NA())</f>
        <v>436</v>
      </c>
    </row>
    <row r="232" spans="1:8" x14ac:dyDescent="0.25">
      <c r="A232" s="1">
        <v>41753</v>
      </c>
      <c r="B232">
        <v>6</v>
      </c>
      <c r="C232">
        <v>447</v>
      </c>
      <c r="D232" t="s">
        <v>21</v>
      </c>
      <c r="E232">
        <v>17</v>
      </c>
      <c r="F232" t="s">
        <v>4</v>
      </c>
      <c r="G232" s="4" t="e">
        <f>IF(MASTER_TABLE[[#This Row],[EMPLOYMENT]]="EMPLOYED", MASTER_TABLE[[#This Row],[actual order]],NA())</f>
        <v>#N/A</v>
      </c>
      <c r="H232" s="4">
        <f>IF(MASTER_TABLE[[#This Row],[EMPLOYMENT]]="UNEMPLOYED", MASTER_TABLE[[#This Row],[actual order]], NA())</f>
        <v>447</v>
      </c>
    </row>
    <row r="233" spans="1:8" x14ac:dyDescent="0.25">
      <c r="A233" s="1">
        <v>41755</v>
      </c>
      <c r="B233">
        <v>6</v>
      </c>
      <c r="C233">
        <v>444</v>
      </c>
      <c r="D233" t="s">
        <v>21</v>
      </c>
      <c r="E233">
        <v>17</v>
      </c>
      <c r="F233" t="s">
        <v>4</v>
      </c>
      <c r="G233" s="4" t="e">
        <f>IF(MASTER_TABLE[[#This Row],[EMPLOYMENT]]="EMPLOYED", MASTER_TABLE[[#This Row],[actual order]],NA())</f>
        <v>#N/A</v>
      </c>
      <c r="H233" s="4">
        <f>IF(MASTER_TABLE[[#This Row],[EMPLOYMENT]]="UNEMPLOYED", MASTER_TABLE[[#This Row],[actual order]], NA())</f>
        <v>444</v>
      </c>
    </row>
    <row r="234" spans="1:8" x14ac:dyDescent="0.25">
      <c r="A234" s="1">
        <v>41755</v>
      </c>
      <c r="B234">
        <v>6</v>
      </c>
      <c r="C234">
        <v>480</v>
      </c>
      <c r="D234" t="s">
        <v>21</v>
      </c>
      <c r="E234">
        <v>17</v>
      </c>
      <c r="F234" t="s">
        <v>4</v>
      </c>
      <c r="G234" s="4" t="e">
        <f>IF(MASTER_TABLE[[#This Row],[EMPLOYMENT]]="EMPLOYED", MASTER_TABLE[[#This Row],[actual order]],NA())</f>
        <v>#N/A</v>
      </c>
      <c r="H234" s="4">
        <f>IF(MASTER_TABLE[[#This Row],[EMPLOYMENT]]="UNEMPLOYED", MASTER_TABLE[[#This Row],[actual order]], NA())</f>
        <v>480</v>
      </c>
    </row>
    <row r="235" spans="1:8" x14ac:dyDescent="0.25">
      <c r="A235" s="1">
        <v>41757</v>
      </c>
      <c r="B235">
        <v>6</v>
      </c>
      <c r="C235">
        <v>518</v>
      </c>
      <c r="D235" t="s">
        <v>21</v>
      </c>
      <c r="E235">
        <v>17</v>
      </c>
      <c r="F235" t="s">
        <v>4</v>
      </c>
      <c r="G235" s="4" t="e">
        <f>IF(MASTER_TABLE[[#This Row],[EMPLOYMENT]]="EMPLOYED", MASTER_TABLE[[#This Row],[actual order]],NA())</f>
        <v>#N/A</v>
      </c>
      <c r="H235" s="4">
        <f>IF(MASTER_TABLE[[#This Row],[EMPLOYMENT]]="UNEMPLOYED", MASTER_TABLE[[#This Row],[actual order]], NA())</f>
        <v>518</v>
      </c>
    </row>
    <row r="236" spans="1:8" x14ac:dyDescent="0.25">
      <c r="A236" s="1">
        <v>41779</v>
      </c>
      <c r="B236">
        <v>6</v>
      </c>
      <c r="C236">
        <v>516</v>
      </c>
      <c r="D236" t="s">
        <v>21</v>
      </c>
      <c r="E236">
        <v>17</v>
      </c>
      <c r="F236" t="s">
        <v>4</v>
      </c>
      <c r="G236" s="4" t="e">
        <f>IF(MASTER_TABLE[[#This Row],[EMPLOYMENT]]="EMPLOYED", MASTER_TABLE[[#This Row],[actual order]],NA())</f>
        <v>#N/A</v>
      </c>
      <c r="H236" s="4">
        <f>IF(MASTER_TABLE[[#This Row],[EMPLOYMENT]]="UNEMPLOYED", MASTER_TABLE[[#This Row],[actual order]], NA())</f>
        <v>516</v>
      </c>
    </row>
    <row r="237" spans="1:8" x14ac:dyDescent="0.25">
      <c r="A237" s="1">
        <v>41785</v>
      </c>
      <c r="B237">
        <v>6</v>
      </c>
      <c r="C237">
        <v>560</v>
      </c>
      <c r="D237" t="s">
        <v>21</v>
      </c>
      <c r="E237">
        <v>17</v>
      </c>
      <c r="F237" t="s">
        <v>4</v>
      </c>
      <c r="G237" s="4" t="e">
        <f>IF(MASTER_TABLE[[#This Row],[EMPLOYMENT]]="EMPLOYED", MASTER_TABLE[[#This Row],[actual order]],NA())</f>
        <v>#N/A</v>
      </c>
      <c r="H237" s="4">
        <f>IF(MASTER_TABLE[[#This Row],[EMPLOYMENT]]="UNEMPLOYED", MASTER_TABLE[[#This Row],[actual order]], NA())</f>
        <v>560</v>
      </c>
    </row>
    <row r="238" spans="1:8" x14ac:dyDescent="0.25">
      <c r="A238" s="1">
        <v>41785</v>
      </c>
      <c r="B238">
        <v>6</v>
      </c>
      <c r="C238">
        <v>484</v>
      </c>
      <c r="D238" t="s">
        <v>21</v>
      </c>
      <c r="E238">
        <v>17</v>
      </c>
      <c r="F238" t="s">
        <v>4</v>
      </c>
      <c r="G238" s="4" t="e">
        <f>IF(MASTER_TABLE[[#This Row],[EMPLOYMENT]]="EMPLOYED", MASTER_TABLE[[#This Row],[actual order]],NA())</f>
        <v>#N/A</v>
      </c>
      <c r="H238" s="4">
        <f>IF(MASTER_TABLE[[#This Row],[EMPLOYMENT]]="UNEMPLOYED", MASTER_TABLE[[#This Row],[actual order]], NA())</f>
        <v>484</v>
      </c>
    </row>
    <row r="239" spans="1:8" x14ac:dyDescent="0.25">
      <c r="A239" s="1">
        <v>41797</v>
      </c>
      <c r="B239">
        <v>6</v>
      </c>
      <c r="C239">
        <v>481</v>
      </c>
      <c r="D239" t="s">
        <v>21</v>
      </c>
      <c r="E239">
        <v>17</v>
      </c>
      <c r="F239" t="s">
        <v>4</v>
      </c>
      <c r="G239" s="4" t="e">
        <f>IF(MASTER_TABLE[[#This Row],[EMPLOYMENT]]="EMPLOYED", MASTER_TABLE[[#This Row],[actual order]],NA())</f>
        <v>#N/A</v>
      </c>
      <c r="H239" s="4">
        <f>IF(MASTER_TABLE[[#This Row],[EMPLOYMENT]]="UNEMPLOYED", MASTER_TABLE[[#This Row],[actual order]], NA())</f>
        <v>481</v>
      </c>
    </row>
    <row r="240" spans="1:8" x14ac:dyDescent="0.25">
      <c r="A240" s="1">
        <v>41810</v>
      </c>
      <c r="B240">
        <v>6</v>
      </c>
      <c r="C240">
        <v>460</v>
      </c>
      <c r="D240" t="s">
        <v>21</v>
      </c>
      <c r="E240">
        <v>17</v>
      </c>
      <c r="F240" t="s">
        <v>4</v>
      </c>
      <c r="G240" s="4" t="e">
        <f>IF(MASTER_TABLE[[#This Row],[EMPLOYMENT]]="EMPLOYED", MASTER_TABLE[[#This Row],[actual order]],NA())</f>
        <v>#N/A</v>
      </c>
      <c r="H240" s="4">
        <f>IF(MASTER_TABLE[[#This Row],[EMPLOYMENT]]="UNEMPLOYED", MASTER_TABLE[[#This Row],[actual order]], NA())</f>
        <v>460</v>
      </c>
    </row>
    <row r="241" spans="1:8" x14ac:dyDescent="0.25">
      <c r="A241" s="1">
        <v>41813</v>
      </c>
      <c r="B241">
        <v>6</v>
      </c>
      <c r="C241">
        <v>437</v>
      </c>
      <c r="D241" t="s">
        <v>21</v>
      </c>
      <c r="E241">
        <v>17</v>
      </c>
      <c r="F241" t="s">
        <v>4</v>
      </c>
      <c r="G241" s="4" t="e">
        <f>IF(MASTER_TABLE[[#This Row],[EMPLOYMENT]]="EMPLOYED", MASTER_TABLE[[#This Row],[actual order]],NA())</f>
        <v>#N/A</v>
      </c>
      <c r="H241" s="4">
        <f>IF(MASTER_TABLE[[#This Row],[EMPLOYMENT]]="UNEMPLOYED", MASTER_TABLE[[#This Row],[actual order]], NA())</f>
        <v>437</v>
      </c>
    </row>
    <row r="242" spans="1:8" x14ac:dyDescent="0.25">
      <c r="A242" s="1">
        <v>41616</v>
      </c>
      <c r="B242">
        <v>7</v>
      </c>
      <c r="C242">
        <v>203</v>
      </c>
      <c r="D242" t="s">
        <v>20</v>
      </c>
      <c r="E242">
        <v>25</v>
      </c>
      <c r="F242" t="s">
        <v>6</v>
      </c>
      <c r="G242" s="4">
        <f>IF(MASTER_TABLE[[#This Row],[EMPLOYMENT]]="EMPLOYED", MASTER_TABLE[[#This Row],[actual order]],NA())</f>
        <v>203</v>
      </c>
      <c r="H242" s="4" t="e">
        <f>IF(MASTER_TABLE[[#This Row],[EMPLOYMENT]]="UNEMPLOYED", MASTER_TABLE[[#This Row],[actual order]], NA())</f>
        <v>#N/A</v>
      </c>
    </row>
    <row r="243" spans="1:8" x14ac:dyDescent="0.25">
      <c r="A243" s="1">
        <v>41626</v>
      </c>
      <c r="B243">
        <v>7</v>
      </c>
      <c r="C243">
        <v>206</v>
      </c>
      <c r="D243" t="s">
        <v>20</v>
      </c>
      <c r="E243">
        <v>25</v>
      </c>
      <c r="F243" t="s">
        <v>6</v>
      </c>
      <c r="G243" s="4">
        <f>IF(MASTER_TABLE[[#This Row],[EMPLOYMENT]]="EMPLOYED", MASTER_TABLE[[#This Row],[actual order]],NA())</f>
        <v>206</v>
      </c>
      <c r="H243" s="4" t="e">
        <f>IF(MASTER_TABLE[[#This Row],[EMPLOYMENT]]="UNEMPLOYED", MASTER_TABLE[[#This Row],[actual order]], NA())</f>
        <v>#N/A</v>
      </c>
    </row>
    <row r="244" spans="1:8" x14ac:dyDescent="0.25">
      <c r="A244" s="1">
        <v>41632</v>
      </c>
      <c r="B244">
        <v>7</v>
      </c>
      <c r="C244">
        <v>204</v>
      </c>
      <c r="D244" t="s">
        <v>20</v>
      </c>
      <c r="E244">
        <v>25</v>
      </c>
      <c r="F244" t="s">
        <v>6</v>
      </c>
      <c r="G244" s="4">
        <f>IF(MASTER_TABLE[[#This Row],[EMPLOYMENT]]="EMPLOYED", MASTER_TABLE[[#This Row],[actual order]],NA())</f>
        <v>204</v>
      </c>
      <c r="H244" s="4" t="e">
        <f>IF(MASTER_TABLE[[#This Row],[EMPLOYMENT]]="UNEMPLOYED", MASTER_TABLE[[#This Row],[actual order]], NA())</f>
        <v>#N/A</v>
      </c>
    </row>
    <row r="245" spans="1:8" x14ac:dyDescent="0.25">
      <c r="A245" s="1">
        <v>41636</v>
      </c>
      <c r="B245">
        <v>7</v>
      </c>
      <c r="C245">
        <v>202</v>
      </c>
      <c r="D245" t="s">
        <v>20</v>
      </c>
      <c r="E245">
        <v>25</v>
      </c>
      <c r="F245" t="s">
        <v>6</v>
      </c>
      <c r="G245" s="4">
        <f>IF(MASTER_TABLE[[#This Row],[EMPLOYMENT]]="EMPLOYED", MASTER_TABLE[[#This Row],[actual order]],NA())</f>
        <v>202</v>
      </c>
      <c r="H245" s="4" t="e">
        <f>IF(MASTER_TABLE[[#This Row],[EMPLOYMENT]]="UNEMPLOYED", MASTER_TABLE[[#This Row],[actual order]], NA())</f>
        <v>#N/A</v>
      </c>
    </row>
    <row r="246" spans="1:8" x14ac:dyDescent="0.25">
      <c r="A246" s="1">
        <v>41638</v>
      </c>
      <c r="B246">
        <v>7</v>
      </c>
      <c r="C246">
        <v>218</v>
      </c>
      <c r="D246" t="s">
        <v>20</v>
      </c>
      <c r="E246">
        <v>25</v>
      </c>
      <c r="F246" t="s">
        <v>6</v>
      </c>
      <c r="G246" s="4">
        <f>IF(MASTER_TABLE[[#This Row],[EMPLOYMENT]]="EMPLOYED", MASTER_TABLE[[#This Row],[actual order]],NA())</f>
        <v>218</v>
      </c>
      <c r="H246" s="4" t="e">
        <f>IF(MASTER_TABLE[[#This Row],[EMPLOYMENT]]="UNEMPLOYED", MASTER_TABLE[[#This Row],[actual order]], NA())</f>
        <v>#N/A</v>
      </c>
    </row>
    <row r="247" spans="1:8" x14ac:dyDescent="0.25">
      <c r="A247" s="1">
        <v>41646</v>
      </c>
      <c r="B247">
        <v>7</v>
      </c>
      <c r="C247">
        <v>207</v>
      </c>
      <c r="D247" t="s">
        <v>20</v>
      </c>
      <c r="E247">
        <v>25</v>
      </c>
      <c r="F247" t="s">
        <v>6</v>
      </c>
      <c r="G247" s="4">
        <f>IF(MASTER_TABLE[[#This Row],[EMPLOYMENT]]="EMPLOYED", MASTER_TABLE[[#This Row],[actual order]],NA())</f>
        <v>207</v>
      </c>
      <c r="H247" s="4" t="e">
        <f>IF(MASTER_TABLE[[#This Row],[EMPLOYMENT]]="UNEMPLOYED", MASTER_TABLE[[#This Row],[actual order]], NA())</f>
        <v>#N/A</v>
      </c>
    </row>
    <row r="248" spans="1:8" x14ac:dyDescent="0.25">
      <c r="A248" s="1">
        <v>41646</v>
      </c>
      <c r="B248">
        <v>7</v>
      </c>
      <c r="C248">
        <v>211</v>
      </c>
      <c r="D248" t="s">
        <v>20</v>
      </c>
      <c r="E248">
        <v>25</v>
      </c>
      <c r="F248" t="s">
        <v>6</v>
      </c>
      <c r="G248" s="4">
        <f>IF(MASTER_TABLE[[#This Row],[EMPLOYMENT]]="EMPLOYED", MASTER_TABLE[[#This Row],[actual order]],NA())</f>
        <v>211</v>
      </c>
      <c r="H248" s="4" t="e">
        <f>IF(MASTER_TABLE[[#This Row],[EMPLOYMENT]]="UNEMPLOYED", MASTER_TABLE[[#This Row],[actual order]], NA())</f>
        <v>#N/A</v>
      </c>
    </row>
    <row r="249" spans="1:8" x14ac:dyDescent="0.25">
      <c r="A249" s="1">
        <v>41647</v>
      </c>
      <c r="B249">
        <v>7</v>
      </c>
      <c r="C249">
        <v>209</v>
      </c>
      <c r="D249" t="s">
        <v>20</v>
      </c>
      <c r="E249">
        <v>25</v>
      </c>
      <c r="F249" t="s">
        <v>6</v>
      </c>
      <c r="G249" s="4">
        <f>IF(MASTER_TABLE[[#This Row],[EMPLOYMENT]]="EMPLOYED", MASTER_TABLE[[#This Row],[actual order]],NA())</f>
        <v>209</v>
      </c>
      <c r="H249" s="4" t="e">
        <f>IF(MASTER_TABLE[[#This Row],[EMPLOYMENT]]="UNEMPLOYED", MASTER_TABLE[[#This Row],[actual order]], NA())</f>
        <v>#N/A</v>
      </c>
    </row>
    <row r="250" spans="1:8" x14ac:dyDescent="0.25">
      <c r="A250" s="1">
        <v>41649</v>
      </c>
      <c r="B250">
        <v>7</v>
      </c>
      <c r="C250">
        <v>189</v>
      </c>
      <c r="D250" t="s">
        <v>20</v>
      </c>
      <c r="E250">
        <v>25</v>
      </c>
      <c r="F250" t="s">
        <v>6</v>
      </c>
      <c r="G250" s="4">
        <f>IF(MASTER_TABLE[[#This Row],[EMPLOYMENT]]="EMPLOYED", MASTER_TABLE[[#This Row],[actual order]],NA())</f>
        <v>189</v>
      </c>
      <c r="H250" s="4" t="e">
        <f>IF(MASTER_TABLE[[#This Row],[EMPLOYMENT]]="UNEMPLOYED", MASTER_TABLE[[#This Row],[actual order]], NA())</f>
        <v>#N/A</v>
      </c>
    </row>
    <row r="251" spans="1:8" x14ac:dyDescent="0.25">
      <c r="A251" s="1">
        <v>41649</v>
      </c>
      <c r="B251">
        <v>7</v>
      </c>
      <c r="C251">
        <v>223</v>
      </c>
      <c r="D251" t="s">
        <v>20</v>
      </c>
      <c r="E251">
        <v>25</v>
      </c>
      <c r="F251" t="s">
        <v>6</v>
      </c>
      <c r="G251" s="4">
        <f>IF(MASTER_TABLE[[#This Row],[EMPLOYMENT]]="EMPLOYED", MASTER_TABLE[[#This Row],[actual order]],NA())</f>
        <v>223</v>
      </c>
      <c r="H251" s="4" t="e">
        <f>IF(MASTER_TABLE[[#This Row],[EMPLOYMENT]]="UNEMPLOYED", MASTER_TABLE[[#This Row],[actual order]], NA())</f>
        <v>#N/A</v>
      </c>
    </row>
    <row r="252" spans="1:8" x14ac:dyDescent="0.25">
      <c r="A252" s="1">
        <v>41654</v>
      </c>
      <c r="B252">
        <v>7</v>
      </c>
      <c r="C252">
        <v>190</v>
      </c>
      <c r="D252" t="s">
        <v>20</v>
      </c>
      <c r="E252">
        <v>25</v>
      </c>
      <c r="F252" t="s">
        <v>6</v>
      </c>
      <c r="G252" s="4">
        <f>IF(MASTER_TABLE[[#This Row],[EMPLOYMENT]]="EMPLOYED", MASTER_TABLE[[#This Row],[actual order]],NA())</f>
        <v>190</v>
      </c>
      <c r="H252" s="4" t="e">
        <f>IF(MASTER_TABLE[[#This Row],[EMPLOYMENT]]="UNEMPLOYED", MASTER_TABLE[[#This Row],[actual order]], NA())</f>
        <v>#N/A</v>
      </c>
    </row>
    <row r="253" spans="1:8" x14ac:dyDescent="0.25">
      <c r="A253" s="1">
        <v>41654</v>
      </c>
      <c r="B253">
        <v>7</v>
      </c>
      <c r="C253">
        <v>184</v>
      </c>
      <c r="D253" t="s">
        <v>20</v>
      </c>
      <c r="E253">
        <v>25</v>
      </c>
      <c r="F253" t="s">
        <v>6</v>
      </c>
      <c r="G253" s="4">
        <f>IF(MASTER_TABLE[[#This Row],[EMPLOYMENT]]="EMPLOYED", MASTER_TABLE[[#This Row],[actual order]],NA())</f>
        <v>184</v>
      </c>
      <c r="H253" s="4" t="e">
        <f>IF(MASTER_TABLE[[#This Row],[EMPLOYMENT]]="UNEMPLOYED", MASTER_TABLE[[#This Row],[actual order]], NA())</f>
        <v>#N/A</v>
      </c>
    </row>
    <row r="254" spans="1:8" x14ac:dyDescent="0.25">
      <c r="A254" s="1">
        <v>41670</v>
      </c>
      <c r="B254">
        <v>7</v>
      </c>
      <c r="C254">
        <v>191</v>
      </c>
      <c r="D254" t="s">
        <v>20</v>
      </c>
      <c r="E254">
        <v>25</v>
      </c>
      <c r="F254" t="s">
        <v>6</v>
      </c>
      <c r="G254" s="4">
        <f>IF(MASTER_TABLE[[#This Row],[EMPLOYMENT]]="EMPLOYED", MASTER_TABLE[[#This Row],[actual order]],NA())</f>
        <v>191</v>
      </c>
      <c r="H254" s="4" t="e">
        <f>IF(MASTER_TABLE[[#This Row],[EMPLOYMENT]]="UNEMPLOYED", MASTER_TABLE[[#This Row],[actual order]], NA())</f>
        <v>#N/A</v>
      </c>
    </row>
    <row r="255" spans="1:8" x14ac:dyDescent="0.25">
      <c r="A255" s="1">
        <v>41670</v>
      </c>
      <c r="B255">
        <v>7</v>
      </c>
      <c r="C255">
        <v>203</v>
      </c>
      <c r="D255" t="s">
        <v>20</v>
      </c>
      <c r="E255">
        <v>25</v>
      </c>
      <c r="F255" t="s">
        <v>6</v>
      </c>
      <c r="G255" s="4">
        <f>IF(MASTER_TABLE[[#This Row],[EMPLOYMENT]]="EMPLOYED", MASTER_TABLE[[#This Row],[actual order]],NA())</f>
        <v>203</v>
      </c>
      <c r="H255" s="4" t="e">
        <f>IF(MASTER_TABLE[[#This Row],[EMPLOYMENT]]="UNEMPLOYED", MASTER_TABLE[[#This Row],[actual order]], NA())</f>
        <v>#N/A</v>
      </c>
    </row>
    <row r="256" spans="1:8" x14ac:dyDescent="0.25">
      <c r="A256" s="1">
        <v>41679</v>
      </c>
      <c r="B256">
        <v>7</v>
      </c>
      <c r="C256">
        <v>208</v>
      </c>
      <c r="D256" t="s">
        <v>20</v>
      </c>
      <c r="E256">
        <v>25</v>
      </c>
      <c r="F256" t="s">
        <v>6</v>
      </c>
      <c r="G256" s="4">
        <f>IF(MASTER_TABLE[[#This Row],[EMPLOYMENT]]="EMPLOYED", MASTER_TABLE[[#This Row],[actual order]],NA())</f>
        <v>208</v>
      </c>
      <c r="H256" s="4" t="e">
        <f>IF(MASTER_TABLE[[#This Row],[EMPLOYMENT]]="UNEMPLOYED", MASTER_TABLE[[#This Row],[actual order]], NA())</f>
        <v>#N/A</v>
      </c>
    </row>
    <row r="257" spans="1:8" x14ac:dyDescent="0.25">
      <c r="A257" s="1">
        <v>41685</v>
      </c>
      <c r="B257">
        <v>7</v>
      </c>
      <c r="C257">
        <v>189</v>
      </c>
      <c r="D257" t="s">
        <v>20</v>
      </c>
      <c r="E257">
        <v>25</v>
      </c>
      <c r="F257" t="s">
        <v>6</v>
      </c>
      <c r="G257" s="4">
        <f>IF(MASTER_TABLE[[#This Row],[EMPLOYMENT]]="EMPLOYED", MASTER_TABLE[[#This Row],[actual order]],NA())</f>
        <v>189</v>
      </c>
      <c r="H257" s="4" t="e">
        <f>IF(MASTER_TABLE[[#This Row],[EMPLOYMENT]]="UNEMPLOYED", MASTER_TABLE[[#This Row],[actual order]], NA())</f>
        <v>#N/A</v>
      </c>
    </row>
    <row r="258" spans="1:8" x14ac:dyDescent="0.25">
      <c r="A258" s="1">
        <v>41685</v>
      </c>
      <c r="B258">
        <v>7</v>
      </c>
      <c r="C258">
        <v>173</v>
      </c>
      <c r="D258" t="s">
        <v>20</v>
      </c>
      <c r="E258">
        <v>25</v>
      </c>
      <c r="F258" t="s">
        <v>6</v>
      </c>
      <c r="G258" s="4">
        <f>IF(MASTER_TABLE[[#This Row],[EMPLOYMENT]]="EMPLOYED", MASTER_TABLE[[#This Row],[actual order]],NA())</f>
        <v>173</v>
      </c>
      <c r="H258" s="4" t="e">
        <f>IF(MASTER_TABLE[[#This Row],[EMPLOYMENT]]="UNEMPLOYED", MASTER_TABLE[[#This Row],[actual order]], NA())</f>
        <v>#N/A</v>
      </c>
    </row>
    <row r="259" spans="1:8" x14ac:dyDescent="0.25">
      <c r="A259" s="1">
        <v>41685</v>
      </c>
      <c r="B259">
        <v>7</v>
      </c>
      <c r="C259">
        <v>202</v>
      </c>
      <c r="D259" t="s">
        <v>20</v>
      </c>
      <c r="E259">
        <v>25</v>
      </c>
      <c r="F259" t="s">
        <v>6</v>
      </c>
      <c r="G259" s="4">
        <f>IF(MASTER_TABLE[[#This Row],[EMPLOYMENT]]="EMPLOYED", MASTER_TABLE[[#This Row],[actual order]],NA())</f>
        <v>202</v>
      </c>
      <c r="H259" s="4" t="e">
        <f>IF(MASTER_TABLE[[#This Row],[EMPLOYMENT]]="UNEMPLOYED", MASTER_TABLE[[#This Row],[actual order]], NA())</f>
        <v>#N/A</v>
      </c>
    </row>
    <row r="260" spans="1:8" x14ac:dyDescent="0.25">
      <c r="A260" s="1">
        <v>41687</v>
      </c>
      <c r="B260">
        <v>7</v>
      </c>
      <c r="C260">
        <v>200</v>
      </c>
      <c r="D260" t="s">
        <v>20</v>
      </c>
      <c r="E260">
        <v>25</v>
      </c>
      <c r="F260" t="s">
        <v>6</v>
      </c>
      <c r="G260" s="4">
        <f>IF(MASTER_TABLE[[#This Row],[EMPLOYMENT]]="EMPLOYED", MASTER_TABLE[[#This Row],[actual order]],NA())</f>
        <v>200</v>
      </c>
      <c r="H260" s="4" t="e">
        <f>IF(MASTER_TABLE[[#This Row],[EMPLOYMENT]]="UNEMPLOYED", MASTER_TABLE[[#This Row],[actual order]], NA())</f>
        <v>#N/A</v>
      </c>
    </row>
    <row r="261" spans="1:8" x14ac:dyDescent="0.25">
      <c r="A261" s="1">
        <v>41691</v>
      </c>
      <c r="B261">
        <v>7</v>
      </c>
      <c r="C261">
        <v>202</v>
      </c>
      <c r="D261" t="s">
        <v>20</v>
      </c>
      <c r="E261">
        <v>25</v>
      </c>
      <c r="F261" t="s">
        <v>6</v>
      </c>
      <c r="G261" s="4">
        <f>IF(MASTER_TABLE[[#This Row],[EMPLOYMENT]]="EMPLOYED", MASTER_TABLE[[#This Row],[actual order]],NA())</f>
        <v>202</v>
      </c>
      <c r="H261" s="4" t="e">
        <f>IF(MASTER_TABLE[[#This Row],[EMPLOYMENT]]="UNEMPLOYED", MASTER_TABLE[[#This Row],[actual order]], NA())</f>
        <v>#N/A</v>
      </c>
    </row>
    <row r="262" spans="1:8" x14ac:dyDescent="0.25">
      <c r="A262" s="1">
        <v>41694</v>
      </c>
      <c r="B262">
        <v>7</v>
      </c>
      <c r="C262">
        <v>198</v>
      </c>
      <c r="D262" t="s">
        <v>20</v>
      </c>
      <c r="E262">
        <v>25</v>
      </c>
      <c r="F262" t="s">
        <v>6</v>
      </c>
      <c r="G262" s="4">
        <f>IF(MASTER_TABLE[[#This Row],[EMPLOYMENT]]="EMPLOYED", MASTER_TABLE[[#This Row],[actual order]],NA())</f>
        <v>198</v>
      </c>
      <c r="H262" s="4" t="e">
        <f>IF(MASTER_TABLE[[#This Row],[EMPLOYMENT]]="UNEMPLOYED", MASTER_TABLE[[#This Row],[actual order]], NA())</f>
        <v>#N/A</v>
      </c>
    </row>
    <row r="263" spans="1:8" x14ac:dyDescent="0.25">
      <c r="A263" s="1">
        <v>41702</v>
      </c>
      <c r="B263">
        <v>7</v>
      </c>
      <c r="C263">
        <v>220</v>
      </c>
      <c r="D263" t="s">
        <v>20</v>
      </c>
      <c r="E263">
        <v>25</v>
      </c>
      <c r="F263" t="s">
        <v>6</v>
      </c>
      <c r="G263" s="4">
        <f>IF(MASTER_TABLE[[#This Row],[EMPLOYMENT]]="EMPLOYED", MASTER_TABLE[[#This Row],[actual order]],NA())</f>
        <v>220</v>
      </c>
      <c r="H263" s="4" t="e">
        <f>IF(MASTER_TABLE[[#This Row],[EMPLOYMENT]]="UNEMPLOYED", MASTER_TABLE[[#This Row],[actual order]], NA())</f>
        <v>#N/A</v>
      </c>
    </row>
    <row r="264" spans="1:8" x14ac:dyDescent="0.25">
      <c r="A264" s="1">
        <v>41705</v>
      </c>
      <c r="B264">
        <v>7</v>
      </c>
      <c r="C264">
        <v>206</v>
      </c>
      <c r="D264" t="s">
        <v>20</v>
      </c>
      <c r="E264">
        <v>25</v>
      </c>
      <c r="F264" t="s">
        <v>6</v>
      </c>
      <c r="G264" s="4">
        <f>IF(MASTER_TABLE[[#This Row],[EMPLOYMENT]]="EMPLOYED", MASTER_TABLE[[#This Row],[actual order]],NA())</f>
        <v>206</v>
      </c>
      <c r="H264" s="4" t="e">
        <f>IF(MASTER_TABLE[[#This Row],[EMPLOYMENT]]="UNEMPLOYED", MASTER_TABLE[[#This Row],[actual order]], NA())</f>
        <v>#N/A</v>
      </c>
    </row>
    <row r="265" spans="1:8" x14ac:dyDescent="0.25">
      <c r="A265" s="1">
        <v>41710</v>
      </c>
      <c r="B265">
        <v>7</v>
      </c>
      <c r="C265">
        <v>200</v>
      </c>
      <c r="D265" t="s">
        <v>20</v>
      </c>
      <c r="E265">
        <v>25</v>
      </c>
      <c r="F265" t="s">
        <v>6</v>
      </c>
      <c r="G265" s="4">
        <f>IF(MASTER_TABLE[[#This Row],[EMPLOYMENT]]="EMPLOYED", MASTER_TABLE[[#This Row],[actual order]],NA())</f>
        <v>200</v>
      </c>
      <c r="H265" s="4" t="e">
        <f>IF(MASTER_TABLE[[#This Row],[EMPLOYMENT]]="UNEMPLOYED", MASTER_TABLE[[#This Row],[actual order]], NA())</f>
        <v>#N/A</v>
      </c>
    </row>
    <row r="266" spans="1:8" x14ac:dyDescent="0.25">
      <c r="A266" s="1">
        <v>41710</v>
      </c>
      <c r="B266">
        <v>7</v>
      </c>
      <c r="C266">
        <v>217</v>
      </c>
      <c r="D266" t="s">
        <v>20</v>
      </c>
      <c r="E266">
        <v>25</v>
      </c>
      <c r="F266" t="s">
        <v>6</v>
      </c>
      <c r="G266" s="4">
        <f>IF(MASTER_TABLE[[#This Row],[EMPLOYMENT]]="EMPLOYED", MASTER_TABLE[[#This Row],[actual order]],NA())</f>
        <v>217</v>
      </c>
      <c r="H266" s="4" t="e">
        <f>IF(MASTER_TABLE[[#This Row],[EMPLOYMENT]]="UNEMPLOYED", MASTER_TABLE[[#This Row],[actual order]], NA())</f>
        <v>#N/A</v>
      </c>
    </row>
    <row r="267" spans="1:8" x14ac:dyDescent="0.25">
      <c r="A267" s="1">
        <v>41722</v>
      </c>
      <c r="B267">
        <v>7</v>
      </c>
      <c r="C267">
        <v>196</v>
      </c>
      <c r="D267" t="s">
        <v>20</v>
      </c>
      <c r="E267">
        <v>25</v>
      </c>
      <c r="F267" t="s">
        <v>6</v>
      </c>
      <c r="G267" s="4">
        <f>IF(MASTER_TABLE[[#This Row],[EMPLOYMENT]]="EMPLOYED", MASTER_TABLE[[#This Row],[actual order]],NA())</f>
        <v>196</v>
      </c>
      <c r="H267" s="4" t="e">
        <f>IF(MASTER_TABLE[[#This Row],[EMPLOYMENT]]="UNEMPLOYED", MASTER_TABLE[[#This Row],[actual order]], NA())</f>
        <v>#N/A</v>
      </c>
    </row>
    <row r="268" spans="1:8" x14ac:dyDescent="0.25">
      <c r="A268" s="1">
        <v>41723</v>
      </c>
      <c r="B268">
        <v>7</v>
      </c>
      <c r="C268">
        <v>174</v>
      </c>
      <c r="D268" t="s">
        <v>20</v>
      </c>
      <c r="E268">
        <v>25</v>
      </c>
      <c r="F268" t="s">
        <v>6</v>
      </c>
      <c r="G268" s="4">
        <f>IF(MASTER_TABLE[[#This Row],[EMPLOYMENT]]="EMPLOYED", MASTER_TABLE[[#This Row],[actual order]],NA())</f>
        <v>174</v>
      </c>
      <c r="H268" s="4" t="e">
        <f>IF(MASTER_TABLE[[#This Row],[EMPLOYMENT]]="UNEMPLOYED", MASTER_TABLE[[#This Row],[actual order]], NA())</f>
        <v>#N/A</v>
      </c>
    </row>
    <row r="269" spans="1:8" x14ac:dyDescent="0.25">
      <c r="A269" s="1">
        <v>41725</v>
      </c>
      <c r="B269">
        <v>7</v>
      </c>
      <c r="C269">
        <v>187</v>
      </c>
      <c r="D269" t="s">
        <v>20</v>
      </c>
      <c r="E269">
        <v>25</v>
      </c>
      <c r="F269" t="s">
        <v>6</v>
      </c>
      <c r="G269" s="4">
        <f>IF(MASTER_TABLE[[#This Row],[EMPLOYMENT]]="EMPLOYED", MASTER_TABLE[[#This Row],[actual order]],NA())</f>
        <v>187</v>
      </c>
      <c r="H269" s="4" t="e">
        <f>IF(MASTER_TABLE[[#This Row],[EMPLOYMENT]]="UNEMPLOYED", MASTER_TABLE[[#This Row],[actual order]], NA())</f>
        <v>#N/A</v>
      </c>
    </row>
    <row r="270" spans="1:8" x14ac:dyDescent="0.25">
      <c r="A270" s="1">
        <v>41730</v>
      </c>
      <c r="B270">
        <v>7</v>
      </c>
      <c r="C270">
        <v>204</v>
      </c>
      <c r="D270" t="s">
        <v>20</v>
      </c>
      <c r="E270">
        <v>25</v>
      </c>
      <c r="F270" t="s">
        <v>6</v>
      </c>
      <c r="G270" s="4">
        <f>IF(MASTER_TABLE[[#This Row],[EMPLOYMENT]]="EMPLOYED", MASTER_TABLE[[#This Row],[actual order]],NA())</f>
        <v>204</v>
      </c>
      <c r="H270" s="4" t="e">
        <f>IF(MASTER_TABLE[[#This Row],[EMPLOYMENT]]="UNEMPLOYED", MASTER_TABLE[[#This Row],[actual order]], NA())</f>
        <v>#N/A</v>
      </c>
    </row>
    <row r="271" spans="1:8" x14ac:dyDescent="0.25">
      <c r="A271" s="1">
        <v>41730</v>
      </c>
      <c r="B271">
        <v>7</v>
      </c>
      <c r="C271">
        <v>205</v>
      </c>
      <c r="D271" t="s">
        <v>20</v>
      </c>
      <c r="E271">
        <v>25</v>
      </c>
      <c r="F271" t="s">
        <v>6</v>
      </c>
      <c r="G271" s="4">
        <f>IF(MASTER_TABLE[[#This Row],[EMPLOYMENT]]="EMPLOYED", MASTER_TABLE[[#This Row],[actual order]],NA())</f>
        <v>205</v>
      </c>
      <c r="H271" s="4" t="e">
        <f>IF(MASTER_TABLE[[#This Row],[EMPLOYMENT]]="UNEMPLOYED", MASTER_TABLE[[#This Row],[actual order]], NA())</f>
        <v>#N/A</v>
      </c>
    </row>
    <row r="272" spans="1:8" x14ac:dyDescent="0.25">
      <c r="A272" s="1">
        <v>41731</v>
      </c>
      <c r="B272">
        <v>7</v>
      </c>
      <c r="C272">
        <v>201</v>
      </c>
      <c r="D272" t="s">
        <v>20</v>
      </c>
      <c r="E272">
        <v>25</v>
      </c>
      <c r="F272" t="s">
        <v>6</v>
      </c>
      <c r="G272" s="4">
        <f>IF(MASTER_TABLE[[#This Row],[EMPLOYMENT]]="EMPLOYED", MASTER_TABLE[[#This Row],[actual order]],NA())</f>
        <v>201</v>
      </c>
      <c r="H272" s="4" t="e">
        <f>IF(MASTER_TABLE[[#This Row],[EMPLOYMENT]]="UNEMPLOYED", MASTER_TABLE[[#This Row],[actual order]], NA())</f>
        <v>#N/A</v>
      </c>
    </row>
    <row r="273" spans="1:8" x14ac:dyDescent="0.25">
      <c r="A273" s="1">
        <v>41736</v>
      </c>
      <c r="B273">
        <v>7</v>
      </c>
      <c r="C273">
        <v>173</v>
      </c>
      <c r="D273" t="s">
        <v>20</v>
      </c>
      <c r="E273">
        <v>25</v>
      </c>
      <c r="F273" t="s">
        <v>6</v>
      </c>
      <c r="G273" s="4">
        <f>IF(MASTER_TABLE[[#This Row],[EMPLOYMENT]]="EMPLOYED", MASTER_TABLE[[#This Row],[actual order]],NA())</f>
        <v>173</v>
      </c>
      <c r="H273" s="4" t="e">
        <f>IF(MASTER_TABLE[[#This Row],[EMPLOYMENT]]="UNEMPLOYED", MASTER_TABLE[[#This Row],[actual order]], NA())</f>
        <v>#N/A</v>
      </c>
    </row>
    <row r="274" spans="1:8" x14ac:dyDescent="0.25">
      <c r="A274" s="1">
        <v>41742</v>
      </c>
      <c r="B274">
        <v>7</v>
      </c>
      <c r="C274">
        <v>182</v>
      </c>
      <c r="D274" t="s">
        <v>20</v>
      </c>
      <c r="E274">
        <v>25</v>
      </c>
      <c r="F274" t="s">
        <v>6</v>
      </c>
      <c r="G274" s="4">
        <f>IF(MASTER_TABLE[[#This Row],[EMPLOYMENT]]="EMPLOYED", MASTER_TABLE[[#This Row],[actual order]],NA())</f>
        <v>182</v>
      </c>
      <c r="H274" s="4" t="e">
        <f>IF(MASTER_TABLE[[#This Row],[EMPLOYMENT]]="UNEMPLOYED", MASTER_TABLE[[#This Row],[actual order]], NA())</f>
        <v>#N/A</v>
      </c>
    </row>
    <row r="275" spans="1:8" x14ac:dyDescent="0.25">
      <c r="A275" s="1">
        <v>41746</v>
      </c>
      <c r="B275">
        <v>7</v>
      </c>
      <c r="C275">
        <v>213</v>
      </c>
      <c r="D275" t="s">
        <v>20</v>
      </c>
      <c r="E275">
        <v>25</v>
      </c>
      <c r="F275" t="s">
        <v>6</v>
      </c>
      <c r="G275" s="4">
        <f>IF(MASTER_TABLE[[#This Row],[EMPLOYMENT]]="EMPLOYED", MASTER_TABLE[[#This Row],[actual order]],NA())</f>
        <v>213</v>
      </c>
      <c r="H275" s="4" t="e">
        <f>IF(MASTER_TABLE[[#This Row],[EMPLOYMENT]]="UNEMPLOYED", MASTER_TABLE[[#This Row],[actual order]], NA())</f>
        <v>#N/A</v>
      </c>
    </row>
    <row r="276" spans="1:8" x14ac:dyDescent="0.25">
      <c r="A276" s="1">
        <v>41746</v>
      </c>
      <c r="B276">
        <v>7</v>
      </c>
      <c r="C276">
        <v>174</v>
      </c>
      <c r="D276" t="s">
        <v>20</v>
      </c>
      <c r="E276">
        <v>25</v>
      </c>
      <c r="F276" t="s">
        <v>6</v>
      </c>
      <c r="G276" s="4">
        <f>IF(MASTER_TABLE[[#This Row],[EMPLOYMENT]]="EMPLOYED", MASTER_TABLE[[#This Row],[actual order]],NA())</f>
        <v>174</v>
      </c>
      <c r="H276" s="4" t="e">
        <f>IF(MASTER_TABLE[[#This Row],[EMPLOYMENT]]="UNEMPLOYED", MASTER_TABLE[[#This Row],[actual order]], NA())</f>
        <v>#N/A</v>
      </c>
    </row>
    <row r="277" spans="1:8" x14ac:dyDescent="0.25">
      <c r="A277" s="1">
        <v>41747</v>
      </c>
      <c r="B277">
        <v>7</v>
      </c>
      <c r="C277">
        <v>198</v>
      </c>
      <c r="D277" t="s">
        <v>20</v>
      </c>
      <c r="E277">
        <v>25</v>
      </c>
      <c r="F277" t="s">
        <v>6</v>
      </c>
      <c r="G277" s="4">
        <f>IF(MASTER_TABLE[[#This Row],[EMPLOYMENT]]="EMPLOYED", MASTER_TABLE[[#This Row],[actual order]],NA())</f>
        <v>198</v>
      </c>
      <c r="H277" s="4" t="e">
        <f>IF(MASTER_TABLE[[#This Row],[EMPLOYMENT]]="UNEMPLOYED", MASTER_TABLE[[#This Row],[actual order]], NA())</f>
        <v>#N/A</v>
      </c>
    </row>
    <row r="278" spans="1:8" x14ac:dyDescent="0.25">
      <c r="A278" s="1">
        <v>41751</v>
      </c>
      <c r="B278">
        <v>7</v>
      </c>
      <c r="C278">
        <v>186</v>
      </c>
      <c r="D278" t="s">
        <v>20</v>
      </c>
      <c r="E278">
        <v>25</v>
      </c>
      <c r="F278" t="s">
        <v>6</v>
      </c>
      <c r="G278" s="4">
        <f>IF(MASTER_TABLE[[#This Row],[EMPLOYMENT]]="EMPLOYED", MASTER_TABLE[[#This Row],[actual order]],NA())</f>
        <v>186</v>
      </c>
      <c r="H278" s="4" t="e">
        <f>IF(MASTER_TABLE[[#This Row],[EMPLOYMENT]]="UNEMPLOYED", MASTER_TABLE[[#This Row],[actual order]], NA())</f>
        <v>#N/A</v>
      </c>
    </row>
    <row r="279" spans="1:8" x14ac:dyDescent="0.25">
      <c r="A279" s="1">
        <v>41752</v>
      </c>
      <c r="B279">
        <v>7</v>
      </c>
      <c r="C279">
        <v>204</v>
      </c>
      <c r="D279" t="s">
        <v>20</v>
      </c>
      <c r="E279">
        <v>25</v>
      </c>
      <c r="F279" t="s">
        <v>6</v>
      </c>
      <c r="G279" s="4">
        <f>IF(MASTER_TABLE[[#This Row],[EMPLOYMENT]]="EMPLOYED", MASTER_TABLE[[#This Row],[actual order]],NA())</f>
        <v>204</v>
      </c>
      <c r="H279" s="4" t="e">
        <f>IF(MASTER_TABLE[[#This Row],[EMPLOYMENT]]="UNEMPLOYED", MASTER_TABLE[[#This Row],[actual order]], NA())</f>
        <v>#N/A</v>
      </c>
    </row>
    <row r="280" spans="1:8" x14ac:dyDescent="0.25">
      <c r="A280" s="1">
        <v>41752</v>
      </c>
      <c r="B280">
        <v>7</v>
      </c>
      <c r="C280">
        <v>210</v>
      </c>
      <c r="D280" t="s">
        <v>20</v>
      </c>
      <c r="E280">
        <v>25</v>
      </c>
      <c r="F280" t="s">
        <v>6</v>
      </c>
      <c r="G280" s="4">
        <f>IF(MASTER_TABLE[[#This Row],[EMPLOYMENT]]="EMPLOYED", MASTER_TABLE[[#This Row],[actual order]],NA())</f>
        <v>210</v>
      </c>
      <c r="H280" s="4" t="e">
        <f>IF(MASTER_TABLE[[#This Row],[EMPLOYMENT]]="UNEMPLOYED", MASTER_TABLE[[#This Row],[actual order]], NA())</f>
        <v>#N/A</v>
      </c>
    </row>
    <row r="281" spans="1:8" x14ac:dyDescent="0.25">
      <c r="A281" s="1">
        <v>41764</v>
      </c>
      <c r="B281">
        <v>7</v>
      </c>
      <c r="C281">
        <v>211</v>
      </c>
      <c r="D281" t="s">
        <v>20</v>
      </c>
      <c r="E281">
        <v>25</v>
      </c>
      <c r="F281" t="s">
        <v>6</v>
      </c>
      <c r="G281" s="4">
        <f>IF(MASTER_TABLE[[#This Row],[EMPLOYMENT]]="EMPLOYED", MASTER_TABLE[[#This Row],[actual order]],NA())</f>
        <v>211</v>
      </c>
      <c r="H281" s="4" t="e">
        <f>IF(MASTER_TABLE[[#This Row],[EMPLOYMENT]]="UNEMPLOYED", MASTER_TABLE[[#This Row],[actual order]], NA())</f>
        <v>#N/A</v>
      </c>
    </row>
    <row r="282" spans="1:8" x14ac:dyDescent="0.25">
      <c r="A282" s="1">
        <v>41768</v>
      </c>
      <c r="B282">
        <v>7</v>
      </c>
      <c r="C282">
        <v>204</v>
      </c>
      <c r="D282" t="s">
        <v>20</v>
      </c>
      <c r="E282">
        <v>25</v>
      </c>
      <c r="F282" t="s">
        <v>6</v>
      </c>
      <c r="G282" s="4">
        <f>IF(MASTER_TABLE[[#This Row],[EMPLOYMENT]]="EMPLOYED", MASTER_TABLE[[#This Row],[actual order]],NA())</f>
        <v>204</v>
      </c>
      <c r="H282" s="4" t="e">
        <f>IF(MASTER_TABLE[[#This Row],[EMPLOYMENT]]="UNEMPLOYED", MASTER_TABLE[[#This Row],[actual order]], NA())</f>
        <v>#N/A</v>
      </c>
    </row>
    <row r="283" spans="1:8" x14ac:dyDescent="0.25">
      <c r="A283" s="1">
        <v>41776</v>
      </c>
      <c r="B283">
        <v>7</v>
      </c>
      <c r="C283">
        <v>199</v>
      </c>
      <c r="D283" t="s">
        <v>20</v>
      </c>
      <c r="E283">
        <v>25</v>
      </c>
      <c r="F283" t="s">
        <v>6</v>
      </c>
      <c r="G283" s="4">
        <f>IF(MASTER_TABLE[[#This Row],[EMPLOYMENT]]="EMPLOYED", MASTER_TABLE[[#This Row],[actual order]],NA())</f>
        <v>199</v>
      </c>
      <c r="H283" s="4" t="e">
        <f>IF(MASTER_TABLE[[#This Row],[EMPLOYMENT]]="UNEMPLOYED", MASTER_TABLE[[#This Row],[actual order]], NA())</f>
        <v>#N/A</v>
      </c>
    </row>
    <row r="284" spans="1:8" x14ac:dyDescent="0.25">
      <c r="A284" s="1">
        <v>41778</v>
      </c>
      <c r="B284">
        <v>7</v>
      </c>
      <c r="C284">
        <v>186</v>
      </c>
      <c r="D284" t="s">
        <v>20</v>
      </c>
      <c r="E284">
        <v>25</v>
      </c>
      <c r="F284" t="s">
        <v>6</v>
      </c>
      <c r="G284" s="4">
        <f>IF(MASTER_TABLE[[#This Row],[EMPLOYMENT]]="EMPLOYED", MASTER_TABLE[[#This Row],[actual order]],NA())</f>
        <v>186</v>
      </c>
      <c r="H284" s="4" t="e">
        <f>IF(MASTER_TABLE[[#This Row],[EMPLOYMENT]]="UNEMPLOYED", MASTER_TABLE[[#This Row],[actual order]], NA())</f>
        <v>#N/A</v>
      </c>
    </row>
    <row r="285" spans="1:8" x14ac:dyDescent="0.25">
      <c r="A285" s="1">
        <v>41784</v>
      </c>
      <c r="B285">
        <v>7</v>
      </c>
      <c r="C285">
        <v>200</v>
      </c>
      <c r="D285" t="s">
        <v>20</v>
      </c>
      <c r="E285">
        <v>25</v>
      </c>
      <c r="F285" t="s">
        <v>6</v>
      </c>
      <c r="G285" s="4">
        <f>IF(MASTER_TABLE[[#This Row],[EMPLOYMENT]]="EMPLOYED", MASTER_TABLE[[#This Row],[actual order]],NA())</f>
        <v>200</v>
      </c>
      <c r="H285" s="4" t="e">
        <f>IF(MASTER_TABLE[[#This Row],[EMPLOYMENT]]="UNEMPLOYED", MASTER_TABLE[[#This Row],[actual order]], NA())</f>
        <v>#N/A</v>
      </c>
    </row>
    <row r="286" spans="1:8" x14ac:dyDescent="0.25">
      <c r="A286" s="1">
        <v>41786</v>
      </c>
      <c r="B286">
        <v>7</v>
      </c>
      <c r="C286">
        <v>191</v>
      </c>
      <c r="D286" t="s">
        <v>20</v>
      </c>
      <c r="E286">
        <v>25</v>
      </c>
      <c r="F286" t="s">
        <v>6</v>
      </c>
      <c r="G286" s="4">
        <f>IF(MASTER_TABLE[[#This Row],[EMPLOYMENT]]="EMPLOYED", MASTER_TABLE[[#This Row],[actual order]],NA())</f>
        <v>191</v>
      </c>
      <c r="H286" s="4" t="e">
        <f>IF(MASTER_TABLE[[#This Row],[EMPLOYMENT]]="UNEMPLOYED", MASTER_TABLE[[#This Row],[actual order]], NA())</f>
        <v>#N/A</v>
      </c>
    </row>
    <row r="287" spans="1:8" x14ac:dyDescent="0.25">
      <c r="A287" s="1">
        <v>41789</v>
      </c>
      <c r="B287">
        <v>7</v>
      </c>
      <c r="C287">
        <v>177</v>
      </c>
      <c r="D287" t="s">
        <v>20</v>
      </c>
      <c r="E287">
        <v>25</v>
      </c>
      <c r="F287" t="s">
        <v>6</v>
      </c>
      <c r="G287" s="4">
        <f>IF(MASTER_TABLE[[#This Row],[EMPLOYMENT]]="EMPLOYED", MASTER_TABLE[[#This Row],[actual order]],NA())</f>
        <v>177</v>
      </c>
      <c r="H287" s="4" t="e">
        <f>IF(MASTER_TABLE[[#This Row],[EMPLOYMENT]]="UNEMPLOYED", MASTER_TABLE[[#This Row],[actual order]], NA())</f>
        <v>#N/A</v>
      </c>
    </row>
    <row r="288" spans="1:8" x14ac:dyDescent="0.25">
      <c r="A288" s="1">
        <v>41795</v>
      </c>
      <c r="B288">
        <v>7</v>
      </c>
      <c r="C288">
        <v>199</v>
      </c>
      <c r="D288" t="s">
        <v>20</v>
      </c>
      <c r="E288">
        <v>25</v>
      </c>
      <c r="F288" t="s">
        <v>6</v>
      </c>
      <c r="G288" s="4">
        <f>IF(MASTER_TABLE[[#This Row],[EMPLOYMENT]]="EMPLOYED", MASTER_TABLE[[#This Row],[actual order]],NA())</f>
        <v>199</v>
      </c>
      <c r="H288" s="4" t="e">
        <f>IF(MASTER_TABLE[[#This Row],[EMPLOYMENT]]="UNEMPLOYED", MASTER_TABLE[[#This Row],[actual order]], NA())</f>
        <v>#N/A</v>
      </c>
    </row>
    <row r="289" spans="1:8" x14ac:dyDescent="0.25">
      <c r="A289" s="1">
        <v>41802</v>
      </c>
      <c r="B289">
        <v>7</v>
      </c>
      <c r="C289">
        <v>199</v>
      </c>
      <c r="D289" t="s">
        <v>20</v>
      </c>
      <c r="E289">
        <v>25</v>
      </c>
      <c r="F289" t="s">
        <v>6</v>
      </c>
      <c r="G289" s="4">
        <f>IF(MASTER_TABLE[[#This Row],[EMPLOYMENT]]="EMPLOYED", MASTER_TABLE[[#This Row],[actual order]],NA())</f>
        <v>199</v>
      </c>
      <c r="H289" s="4" t="e">
        <f>IF(MASTER_TABLE[[#This Row],[EMPLOYMENT]]="UNEMPLOYED", MASTER_TABLE[[#This Row],[actual order]], NA())</f>
        <v>#N/A</v>
      </c>
    </row>
    <row r="290" spans="1:8" x14ac:dyDescent="0.25">
      <c r="A290" s="1">
        <v>41803</v>
      </c>
      <c r="B290">
        <v>7</v>
      </c>
      <c r="C290">
        <v>178</v>
      </c>
      <c r="D290" t="s">
        <v>20</v>
      </c>
      <c r="E290">
        <v>25</v>
      </c>
      <c r="F290" t="s">
        <v>6</v>
      </c>
      <c r="G290" s="4">
        <f>IF(MASTER_TABLE[[#This Row],[EMPLOYMENT]]="EMPLOYED", MASTER_TABLE[[#This Row],[actual order]],NA())</f>
        <v>178</v>
      </c>
      <c r="H290" s="4" t="e">
        <f>IF(MASTER_TABLE[[#This Row],[EMPLOYMENT]]="UNEMPLOYED", MASTER_TABLE[[#This Row],[actual order]], NA())</f>
        <v>#N/A</v>
      </c>
    </row>
    <row r="291" spans="1:8" x14ac:dyDescent="0.25">
      <c r="A291" s="1">
        <v>41814</v>
      </c>
      <c r="B291">
        <v>7</v>
      </c>
      <c r="C291">
        <v>175</v>
      </c>
      <c r="D291" t="s">
        <v>20</v>
      </c>
      <c r="E291">
        <v>25</v>
      </c>
      <c r="F291" t="s">
        <v>6</v>
      </c>
      <c r="G291" s="4">
        <f>IF(MASTER_TABLE[[#This Row],[EMPLOYMENT]]="EMPLOYED", MASTER_TABLE[[#This Row],[actual order]],NA())</f>
        <v>175</v>
      </c>
      <c r="H291" s="4" t="e">
        <f>IF(MASTER_TABLE[[#This Row],[EMPLOYMENT]]="UNEMPLOYED", MASTER_TABLE[[#This Row],[actual order]], NA())</f>
        <v>#N/A</v>
      </c>
    </row>
    <row r="292" spans="1:8" x14ac:dyDescent="0.25">
      <c r="A292" s="1">
        <v>41685</v>
      </c>
      <c r="B292">
        <v>8</v>
      </c>
      <c r="C292">
        <v>444</v>
      </c>
      <c r="D292" t="s">
        <v>21</v>
      </c>
      <c r="E292">
        <v>12</v>
      </c>
      <c r="F292" t="s">
        <v>3</v>
      </c>
      <c r="G292" s="4" t="e">
        <f>IF(MASTER_TABLE[[#This Row],[EMPLOYMENT]]="EMPLOYED", MASTER_TABLE[[#This Row],[actual order]],NA())</f>
        <v>#N/A</v>
      </c>
      <c r="H292" s="4">
        <f>IF(MASTER_TABLE[[#This Row],[EMPLOYMENT]]="UNEMPLOYED", MASTER_TABLE[[#This Row],[actual order]], NA())</f>
        <v>444</v>
      </c>
    </row>
    <row r="293" spans="1:8" x14ac:dyDescent="0.25">
      <c r="A293" s="1">
        <v>41687</v>
      </c>
      <c r="B293">
        <v>8</v>
      </c>
      <c r="C293">
        <v>383</v>
      </c>
      <c r="D293" t="s">
        <v>21</v>
      </c>
      <c r="E293">
        <v>12</v>
      </c>
      <c r="F293" t="s">
        <v>3</v>
      </c>
      <c r="G293" s="4" t="e">
        <f>IF(MASTER_TABLE[[#This Row],[EMPLOYMENT]]="EMPLOYED", MASTER_TABLE[[#This Row],[actual order]],NA())</f>
        <v>#N/A</v>
      </c>
      <c r="H293" s="4">
        <f>IF(MASTER_TABLE[[#This Row],[EMPLOYMENT]]="UNEMPLOYED", MASTER_TABLE[[#This Row],[actual order]], NA())</f>
        <v>383</v>
      </c>
    </row>
    <row r="294" spans="1:8" x14ac:dyDescent="0.25">
      <c r="A294" s="1">
        <v>41694</v>
      </c>
      <c r="B294">
        <v>8</v>
      </c>
      <c r="C294">
        <v>404</v>
      </c>
      <c r="D294" t="s">
        <v>21</v>
      </c>
      <c r="E294">
        <v>12</v>
      </c>
      <c r="F294" t="s">
        <v>3</v>
      </c>
      <c r="G294" s="4" t="e">
        <f>IF(MASTER_TABLE[[#This Row],[EMPLOYMENT]]="EMPLOYED", MASTER_TABLE[[#This Row],[actual order]],NA())</f>
        <v>#N/A</v>
      </c>
      <c r="H294" s="4">
        <f>IF(MASTER_TABLE[[#This Row],[EMPLOYMENT]]="UNEMPLOYED", MASTER_TABLE[[#This Row],[actual order]], NA())</f>
        <v>404</v>
      </c>
    </row>
    <row r="295" spans="1:8" x14ac:dyDescent="0.25">
      <c r="A295" s="1">
        <v>41700</v>
      </c>
      <c r="B295">
        <v>8</v>
      </c>
      <c r="C295">
        <v>420</v>
      </c>
      <c r="D295" t="s">
        <v>21</v>
      </c>
      <c r="E295">
        <v>12</v>
      </c>
      <c r="F295" t="s">
        <v>3</v>
      </c>
      <c r="G295" s="4" t="e">
        <f>IF(MASTER_TABLE[[#This Row],[EMPLOYMENT]]="EMPLOYED", MASTER_TABLE[[#This Row],[actual order]],NA())</f>
        <v>#N/A</v>
      </c>
      <c r="H295" s="4">
        <f>IF(MASTER_TABLE[[#This Row],[EMPLOYMENT]]="UNEMPLOYED", MASTER_TABLE[[#This Row],[actual order]], NA())</f>
        <v>420</v>
      </c>
    </row>
    <row r="296" spans="1:8" x14ac:dyDescent="0.25">
      <c r="A296" s="1">
        <v>41710</v>
      </c>
      <c r="B296">
        <v>8</v>
      </c>
      <c r="C296">
        <v>365</v>
      </c>
      <c r="D296" t="s">
        <v>21</v>
      </c>
      <c r="E296">
        <v>12</v>
      </c>
      <c r="F296" t="s">
        <v>3</v>
      </c>
      <c r="G296" s="4" t="e">
        <f>IF(MASTER_TABLE[[#This Row],[EMPLOYMENT]]="EMPLOYED", MASTER_TABLE[[#This Row],[actual order]],NA())</f>
        <v>#N/A</v>
      </c>
      <c r="H296" s="4">
        <f>IF(MASTER_TABLE[[#This Row],[EMPLOYMENT]]="UNEMPLOYED", MASTER_TABLE[[#This Row],[actual order]], NA())</f>
        <v>365</v>
      </c>
    </row>
    <row r="297" spans="1:8" x14ac:dyDescent="0.25">
      <c r="A297" s="1">
        <v>41712</v>
      </c>
      <c r="B297">
        <v>8</v>
      </c>
      <c r="C297">
        <v>444</v>
      </c>
      <c r="D297" t="s">
        <v>21</v>
      </c>
      <c r="E297">
        <v>12</v>
      </c>
      <c r="F297" t="s">
        <v>3</v>
      </c>
      <c r="G297" s="4" t="e">
        <f>IF(MASTER_TABLE[[#This Row],[EMPLOYMENT]]="EMPLOYED", MASTER_TABLE[[#This Row],[actual order]],NA())</f>
        <v>#N/A</v>
      </c>
      <c r="H297" s="4">
        <f>IF(MASTER_TABLE[[#This Row],[EMPLOYMENT]]="UNEMPLOYED", MASTER_TABLE[[#This Row],[actual order]], NA())</f>
        <v>444</v>
      </c>
    </row>
    <row r="298" spans="1:8" x14ac:dyDescent="0.25">
      <c r="A298" s="1">
        <v>41747</v>
      </c>
      <c r="B298">
        <v>8</v>
      </c>
      <c r="C298">
        <v>393</v>
      </c>
      <c r="D298" t="s">
        <v>21</v>
      </c>
      <c r="E298">
        <v>12</v>
      </c>
      <c r="F298" t="s">
        <v>3</v>
      </c>
      <c r="G298" s="4" t="e">
        <f>IF(MASTER_TABLE[[#This Row],[EMPLOYMENT]]="EMPLOYED", MASTER_TABLE[[#This Row],[actual order]],NA())</f>
        <v>#N/A</v>
      </c>
      <c r="H298" s="4">
        <f>IF(MASTER_TABLE[[#This Row],[EMPLOYMENT]]="UNEMPLOYED", MASTER_TABLE[[#This Row],[actual order]], NA())</f>
        <v>393</v>
      </c>
    </row>
    <row r="299" spans="1:8" x14ac:dyDescent="0.25">
      <c r="A299" s="1">
        <v>41751</v>
      </c>
      <c r="B299">
        <v>8</v>
      </c>
      <c r="C299">
        <v>371</v>
      </c>
      <c r="D299" t="s">
        <v>21</v>
      </c>
      <c r="E299">
        <v>12</v>
      </c>
      <c r="F299" t="s">
        <v>3</v>
      </c>
      <c r="G299" s="4" t="e">
        <f>IF(MASTER_TABLE[[#This Row],[EMPLOYMENT]]="EMPLOYED", MASTER_TABLE[[#This Row],[actual order]],NA())</f>
        <v>#N/A</v>
      </c>
      <c r="H299" s="4">
        <f>IF(MASTER_TABLE[[#This Row],[EMPLOYMENT]]="UNEMPLOYED", MASTER_TABLE[[#This Row],[actual order]], NA())</f>
        <v>371</v>
      </c>
    </row>
    <row r="300" spans="1:8" x14ac:dyDescent="0.25">
      <c r="A300" s="1">
        <v>41758</v>
      </c>
      <c r="B300">
        <v>8</v>
      </c>
      <c r="C300">
        <v>449</v>
      </c>
      <c r="D300" t="s">
        <v>21</v>
      </c>
      <c r="E300">
        <v>12</v>
      </c>
      <c r="F300" t="s">
        <v>3</v>
      </c>
      <c r="G300" s="4" t="e">
        <f>IF(MASTER_TABLE[[#This Row],[EMPLOYMENT]]="EMPLOYED", MASTER_TABLE[[#This Row],[actual order]],NA())</f>
        <v>#N/A</v>
      </c>
      <c r="H300" s="4">
        <f>IF(MASTER_TABLE[[#This Row],[EMPLOYMENT]]="UNEMPLOYED", MASTER_TABLE[[#This Row],[actual order]], NA())</f>
        <v>449</v>
      </c>
    </row>
    <row r="301" spans="1:8" x14ac:dyDescent="0.25">
      <c r="A301" s="1">
        <v>41767</v>
      </c>
      <c r="B301">
        <v>8</v>
      </c>
      <c r="C301">
        <v>392</v>
      </c>
      <c r="D301" t="s">
        <v>21</v>
      </c>
      <c r="E301">
        <v>12</v>
      </c>
      <c r="F301" t="s">
        <v>3</v>
      </c>
      <c r="G301" s="4" t="e">
        <f>IF(MASTER_TABLE[[#This Row],[EMPLOYMENT]]="EMPLOYED", MASTER_TABLE[[#This Row],[actual order]],NA())</f>
        <v>#N/A</v>
      </c>
      <c r="H301" s="4">
        <f>IF(MASTER_TABLE[[#This Row],[EMPLOYMENT]]="UNEMPLOYED", MASTER_TABLE[[#This Row],[actual order]], NA())</f>
        <v>392</v>
      </c>
    </row>
    <row r="302" spans="1:8" x14ac:dyDescent="0.25">
      <c r="A302" s="1">
        <v>41770</v>
      </c>
      <c r="B302">
        <v>8</v>
      </c>
      <c r="C302">
        <v>391</v>
      </c>
      <c r="D302" t="s">
        <v>21</v>
      </c>
      <c r="E302">
        <v>12</v>
      </c>
      <c r="F302" t="s">
        <v>3</v>
      </c>
      <c r="G302" s="4" t="e">
        <f>IF(MASTER_TABLE[[#This Row],[EMPLOYMENT]]="EMPLOYED", MASTER_TABLE[[#This Row],[actual order]],NA())</f>
        <v>#N/A</v>
      </c>
      <c r="H302" s="4">
        <f>IF(MASTER_TABLE[[#This Row],[EMPLOYMENT]]="UNEMPLOYED", MASTER_TABLE[[#This Row],[actual order]], NA())</f>
        <v>391</v>
      </c>
    </row>
    <row r="303" spans="1:8" x14ac:dyDescent="0.25">
      <c r="A303" s="1">
        <v>41776</v>
      </c>
      <c r="B303">
        <v>8</v>
      </c>
      <c r="C303">
        <v>409</v>
      </c>
      <c r="D303" t="s">
        <v>21</v>
      </c>
      <c r="E303">
        <v>12</v>
      </c>
      <c r="F303" t="s">
        <v>3</v>
      </c>
      <c r="G303" s="4" t="e">
        <f>IF(MASTER_TABLE[[#This Row],[EMPLOYMENT]]="EMPLOYED", MASTER_TABLE[[#This Row],[actual order]],NA())</f>
        <v>#N/A</v>
      </c>
      <c r="H303" s="4">
        <f>IF(MASTER_TABLE[[#This Row],[EMPLOYMENT]]="UNEMPLOYED", MASTER_TABLE[[#This Row],[actual order]], NA())</f>
        <v>409</v>
      </c>
    </row>
    <row r="304" spans="1:8" x14ac:dyDescent="0.25">
      <c r="A304" s="1">
        <v>41795</v>
      </c>
      <c r="B304">
        <v>8</v>
      </c>
      <c r="C304">
        <v>367</v>
      </c>
      <c r="D304" t="s">
        <v>21</v>
      </c>
      <c r="E304">
        <v>12</v>
      </c>
      <c r="F304" t="s">
        <v>3</v>
      </c>
      <c r="G304" s="4" t="e">
        <f>IF(MASTER_TABLE[[#This Row],[EMPLOYMENT]]="EMPLOYED", MASTER_TABLE[[#This Row],[actual order]],NA())</f>
        <v>#N/A</v>
      </c>
      <c r="H304" s="4">
        <f>IF(MASTER_TABLE[[#This Row],[EMPLOYMENT]]="UNEMPLOYED", MASTER_TABLE[[#This Row],[actual order]], NA())</f>
        <v>367</v>
      </c>
    </row>
    <row r="305" spans="1:8" x14ac:dyDescent="0.25">
      <c r="A305" s="1">
        <v>41806</v>
      </c>
      <c r="B305">
        <v>8</v>
      </c>
      <c r="C305">
        <v>416</v>
      </c>
      <c r="D305" t="s">
        <v>21</v>
      </c>
      <c r="E305">
        <v>12</v>
      </c>
      <c r="F305" t="s">
        <v>3</v>
      </c>
      <c r="G305" s="4" t="e">
        <f>IF(MASTER_TABLE[[#This Row],[EMPLOYMENT]]="EMPLOYED", MASTER_TABLE[[#This Row],[actual order]],NA())</f>
        <v>#N/A</v>
      </c>
      <c r="H305" s="4">
        <f>IF(MASTER_TABLE[[#This Row],[EMPLOYMENT]]="UNEMPLOYED", MASTER_TABLE[[#This Row],[actual order]], NA())</f>
        <v>416</v>
      </c>
    </row>
    <row r="306" spans="1:8" x14ac:dyDescent="0.25">
      <c r="A306" s="1">
        <v>41812</v>
      </c>
      <c r="B306">
        <v>8</v>
      </c>
      <c r="C306">
        <v>409</v>
      </c>
      <c r="D306" t="s">
        <v>21</v>
      </c>
      <c r="E306">
        <v>12</v>
      </c>
      <c r="F306" t="s">
        <v>3</v>
      </c>
      <c r="G306" s="4" t="e">
        <f>IF(MASTER_TABLE[[#This Row],[EMPLOYMENT]]="EMPLOYED", MASTER_TABLE[[#This Row],[actual order]],NA())</f>
        <v>#N/A</v>
      </c>
      <c r="H306" s="4">
        <f>IF(MASTER_TABLE[[#This Row],[EMPLOYMENT]]="UNEMPLOYED", MASTER_TABLE[[#This Row],[actual order]], NA())</f>
        <v>409</v>
      </c>
    </row>
    <row r="307" spans="1:8" x14ac:dyDescent="0.25">
      <c r="A307" s="1">
        <v>41617</v>
      </c>
      <c r="B307">
        <v>9</v>
      </c>
      <c r="C307">
        <v>401</v>
      </c>
      <c r="D307" t="s">
        <v>21</v>
      </c>
      <c r="E307">
        <v>16</v>
      </c>
      <c r="F307" t="s">
        <v>4</v>
      </c>
      <c r="G307" s="4" t="e">
        <f>IF(MASTER_TABLE[[#This Row],[EMPLOYMENT]]="EMPLOYED", MASTER_TABLE[[#This Row],[actual order]],NA())</f>
        <v>#N/A</v>
      </c>
      <c r="H307" s="4">
        <f>IF(MASTER_TABLE[[#This Row],[EMPLOYMENT]]="UNEMPLOYED", MASTER_TABLE[[#This Row],[actual order]], NA())</f>
        <v>401</v>
      </c>
    </row>
    <row r="308" spans="1:8" x14ac:dyDescent="0.25">
      <c r="A308" s="1">
        <v>41618</v>
      </c>
      <c r="B308">
        <v>9</v>
      </c>
      <c r="C308">
        <v>504</v>
      </c>
      <c r="D308" t="s">
        <v>21</v>
      </c>
      <c r="E308">
        <v>16</v>
      </c>
      <c r="F308" t="s">
        <v>4</v>
      </c>
      <c r="G308" s="4" t="e">
        <f>IF(MASTER_TABLE[[#This Row],[EMPLOYMENT]]="EMPLOYED", MASTER_TABLE[[#This Row],[actual order]],NA())</f>
        <v>#N/A</v>
      </c>
      <c r="H308" s="4">
        <f>IF(MASTER_TABLE[[#This Row],[EMPLOYMENT]]="UNEMPLOYED", MASTER_TABLE[[#This Row],[actual order]], NA())</f>
        <v>504</v>
      </c>
    </row>
    <row r="309" spans="1:8" x14ac:dyDescent="0.25">
      <c r="A309" s="1">
        <v>41618</v>
      </c>
      <c r="B309">
        <v>9</v>
      </c>
      <c r="C309">
        <v>507</v>
      </c>
      <c r="D309" t="s">
        <v>21</v>
      </c>
      <c r="E309">
        <v>16</v>
      </c>
      <c r="F309" t="s">
        <v>4</v>
      </c>
      <c r="G309" s="4" t="e">
        <f>IF(MASTER_TABLE[[#This Row],[EMPLOYMENT]]="EMPLOYED", MASTER_TABLE[[#This Row],[actual order]],NA())</f>
        <v>#N/A</v>
      </c>
      <c r="H309" s="4">
        <f>IF(MASTER_TABLE[[#This Row],[EMPLOYMENT]]="UNEMPLOYED", MASTER_TABLE[[#This Row],[actual order]], NA())</f>
        <v>507</v>
      </c>
    </row>
    <row r="310" spans="1:8" x14ac:dyDescent="0.25">
      <c r="A310" s="1">
        <v>41622</v>
      </c>
      <c r="B310">
        <v>9</v>
      </c>
      <c r="C310">
        <v>428</v>
      </c>
      <c r="D310" t="s">
        <v>21</v>
      </c>
      <c r="E310">
        <v>16</v>
      </c>
      <c r="F310" t="s">
        <v>4</v>
      </c>
      <c r="G310" s="4" t="e">
        <f>IF(MASTER_TABLE[[#This Row],[EMPLOYMENT]]="EMPLOYED", MASTER_TABLE[[#This Row],[actual order]],NA())</f>
        <v>#N/A</v>
      </c>
      <c r="H310" s="4">
        <f>IF(MASTER_TABLE[[#This Row],[EMPLOYMENT]]="UNEMPLOYED", MASTER_TABLE[[#This Row],[actual order]], NA())</f>
        <v>428</v>
      </c>
    </row>
    <row r="311" spans="1:8" x14ac:dyDescent="0.25">
      <c r="A311" s="1">
        <v>41623</v>
      </c>
      <c r="B311">
        <v>9</v>
      </c>
      <c r="C311">
        <v>458</v>
      </c>
      <c r="D311" t="s">
        <v>21</v>
      </c>
      <c r="E311">
        <v>16</v>
      </c>
      <c r="F311" t="s">
        <v>4</v>
      </c>
      <c r="G311" s="4" t="e">
        <f>IF(MASTER_TABLE[[#This Row],[EMPLOYMENT]]="EMPLOYED", MASTER_TABLE[[#This Row],[actual order]],NA())</f>
        <v>#N/A</v>
      </c>
      <c r="H311" s="4">
        <f>IF(MASTER_TABLE[[#This Row],[EMPLOYMENT]]="UNEMPLOYED", MASTER_TABLE[[#This Row],[actual order]], NA())</f>
        <v>458</v>
      </c>
    </row>
    <row r="312" spans="1:8" x14ac:dyDescent="0.25">
      <c r="A312" s="1">
        <v>41628</v>
      </c>
      <c r="B312">
        <v>9</v>
      </c>
      <c r="C312">
        <v>399</v>
      </c>
      <c r="D312" t="s">
        <v>21</v>
      </c>
      <c r="E312">
        <v>16</v>
      </c>
      <c r="F312" t="s">
        <v>4</v>
      </c>
      <c r="G312" s="4" t="e">
        <f>IF(MASTER_TABLE[[#This Row],[EMPLOYMENT]]="EMPLOYED", MASTER_TABLE[[#This Row],[actual order]],NA())</f>
        <v>#N/A</v>
      </c>
      <c r="H312" s="4">
        <f>IF(MASTER_TABLE[[#This Row],[EMPLOYMENT]]="UNEMPLOYED", MASTER_TABLE[[#This Row],[actual order]], NA())</f>
        <v>399</v>
      </c>
    </row>
    <row r="313" spans="1:8" x14ac:dyDescent="0.25">
      <c r="A313" s="1">
        <v>41630</v>
      </c>
      <c r="B313">
        <v>9</v>
      </c>
      <c r="C313">
        <v>460</v>
      </c>
      <c r="D313" t="s">
        <v>21</v>
      </c>
      <c r="E313">
        <v>16</v>
      </c>
      <c r="F313" t="s">
        <v>4</v>
      </c>
      <c r="G313" s="4" t="e">
        <f>IF(MASTER_TABLE[[#This Row],[EMPLOYMENT]]="EMPLOYED", MASTER_TABLE[[#This Row],[actual order]],NA())</f>
        <v>#N/A</v>
      </c>
      <c r="H313" s="4">
        <f>IF(MASTER_TABLE[[#This Row],[EMPLOYMENT]]="UNEMPLOYED", MASTER_TABLE[[#This Row],[actual order]], NA())</f>
        <v>460</v>
      </c>
    </row>
    <row r="314" spans="1:8" x14ac:dyDescent="0.25">
      <c r="A314" s="1">
        <v>41649</v>
      </c>
      <c r="B314">
        <v>9</v>
      </c>
      <c r="C314">
        <v>456</v>
      </c>
      <c r="D314" t="s">
        <v>21</v>
      </c>
      <c r="E314">
        <v>16</v>
      </c>
      <c r="F314" t="s">
        <v>4</v>
      </c>
      <c r="G314" s="4" t="e">
        <f>IF(MASTER_TABLE[[#This Row],[EMPLOYMENT]]="EMPLOYED", MASTER_TABLE[[#This Row],[actual order]],NA())</f>
        <v>#N/A</v>
      </c>
      <c r="H314" s="4">
        <f>IF(MASTER_TABLE[[#This Row],[EMPLOYMENT]]="UNEMPLOYED", MASTER_TABLE[[#This Row],[actual order]], NA())</f>
        <v>456</v>
      </c>
    </row>
    <row r="315" spans="1:8" x14ac:dyDescent="0.25">
      <c r="A315" s="1">
        <v>41651</v>
      </c>
      <c r="B315">
        <v>9</v>
      </c>
      <c r="C315">
        <v>512</v>
      </c>
      <c r="D315" t="s">
        <v>21</v>
      </c>
      <c r="E315">
        <v>16</v>
      </c>
      <c r="F315" t="s">
        <v>4</v>
      </c>
      <c r="G315" s="4" t="e">
        <f>IF(MASTER_TABLE[[#This Row],[EMPLOYMENT]]="EMPLOYED", MASTER_TABLE[[#This Row],[actual order]],NA())</f>
        <v>#N/A</v>
      </c>
      <c r="H315" s="4">
        <f>IF(MASTER_TABLE[[#This Row],[EMPLOYMENT]]="UNEMPLOYED", MASTER_TABLE[[#This Row],[actual order]], NA())</f>
        <v>512</v>
      </c>
    </row>
    <row r="316" spans="1:8" x14ac:dyDescent="0.25">
      <c r="A316" s="1">
        <v>41661</v>
      </c>
      <c r="B316">
        <v>9</v>
      </c>
      <c r="C316">
        <v>436</v>
      </c>
      <c r="D316" t="s">
        <v>21</v>
      </c>
      <c r="E316">
        <v>16</v>
      </c>
      <c r="F316" t="s">
        <v>4</v>
      </c>
      <c r="G316" s="4" t="e">
        <f>IF(MASTER_TABLE[[#This Row],[EMPLOYMENT]]="EMPLOYED", MASTER_TABLE[[#This Row],[actual order]],NA())</f>
        <v>#N/A</v>
      </c>
      <c r="H316" s="4">
        <f>IF(MASTER_TABLE[[#This Row],[EMPLOYMENT]]="UNEMPLOYED", MASTER_TABLE[[#This Row],[actual order]], NA())</f>
        <v>436</v>
      </c>
    </row>
    <row r="317" spans="1:8" x14ac:dyDescent="0.25">
      <c r="A317" s="1">
        <v>41667</v>
      </c>
      <c r="B317">
        <v>9</v>
      </c>
      <c r="C317">
        <v>408</v>
      </c>
      <c r="D317" t="s">
        <v>21</v>
      </c>
      <c r="E317">
        <v>16</v>
      </c>
      <c r="F317" t="s">
        <v>4</v>
      </c>
      <c r="G317" s="4" t="e">
        <f>IF(MASTER_TABLE[[#This Row],[EMPLOYMENT]]="EMPLOYED", MASTER_TABLE[[#This Row],[actual order]],NA())</f>
        <v>#N/A</v>
      </c>
      <c r="H317" s="4">
        <f>IF(MASTER_TABLE[[#This Row],[EMPLOYMENT]]="UNEMPLOYED", MASTER_TABLE[[#This Row],[actual order]], NA())</f>
        <v>408</v>
      </c>
    </row>
    <row r="318" spans="1:8" x14ac:dyDescent="0.25">
      <c r="A318" s="1">
        <v>41670</v>
      </c>
      <c r="B318">
        <v>9</v>
      </c>
      <c r="C318">
        <v>435</v>
      </c>
      <c r="D318" t="s">
        <v>21</v>
      </c>
      <c r="E318">
        <v>16</v>
      </c>
      <c r="F318" t="s">
        <v>4</v>
      </c>
      <c r="G318" s="4" t="e">
        <f>IF(MASTER_TABLE[[#This Row],[EMPLOYMENT]]="EMPLOYED", MASTER_TABLE[[#This Row],[actual order]],NA())</f>
        <v>#N/A</v>
      </c>
      <c r="H318" s="4">
        <f>IF(MASTER_TABLE[[#This Row],[EMPLOYMENT]]="UNEMPLOYED", MASTER_TABLE[[#This Row],[actual order]], NA())</f>
        <v>435</v>
      </c>
    </row>
    <row r="319" spans="1:8" x14ac:dyDescent="0.25">
      <c r="A319" s="1">
        <v>41671</v>
      </c>
      <c r="B319">
        <v>9</v>
      </c>
      <c r="C319">
        <v>471</v>
      </c>
      <c r="D319" t="s">
        <v>21</v>
      </c>
      <c r="E319">
        <v>16</v>
      </c>
      <c r="F319" t="s">
        <v>4</v>
      </c>
      <c r="G319" s="4" t="e">
        <f>IF(MASTER_TABLE[[#This Row],[EMPLOYMENT]]="EMPLOYED", MASTER_TABLE[[#This Row],[actual order]],NA())</f>
        <v>#N/A</v>
      </c>
      <c r="H319" s="4">
        <f>IF(MASTER_TABLE[[#This Row],[EMPLOYMENT]]="UNEMPLOYED", MASTER_TABLE[[#This Row],[actual order]], NA())</f>
        <v>471</v>
      </c>
    </row>
    <row r="320" spans="1:8" x14ac:dyDescent="0.25">
      <c r="A320" s="1">
        <v>41675</v>
      </c>
      <c r="B320">
        <v>9</v>
      </c>
      <c r="C320">
        <v>483</v>
      </c>
      <c r="D320" t="s">
        <v>21</v>
      </c>
      <c r="E320">
        <v>16</v>
      </c>
      <c r="F320" t="s">
        <v>4</v>
      </c>
      <c r="G320" s="4" t="e">
        <f>IF(MASTER_TABLE[[#This Row],[EMPLOYMENT]]="EMPLOYED", MASTER_TABLE[[#This Row],[actual order]],NA())</f>
        <v>#N/A</v>
      </c>
      <c r="H320" s="4">
        <f>IF(MASTER_TABLE[[#This Row],[EMPLOYMENT]]="UNEMPLOYED", MASTER_TABLE[[#This Row],[actual order]], NA())</f>
        <v>483</v>
      </c>
    </row>
    <row r="321" spans="1:8" x14ac:dyDescent="0.25">
      <c r="A321" s="1">
        <v>41679</v>
      </c>
      <c r="B321">
        <v>9</v>
      </c>
      <c r="C321">
        <v>470</v>
      </c>
      <c r="D321" t="s">
        <v>21</v>
      </c>
      <c r="E321">
        <v>16</v>
      </c>
      <c r="F321" t="s">
        <v>4</v>
      </c>
      <c r="G321" s="4" t="e">
        <f>IF(MASTER_TABLE[[#This Row],[EMPLOYMENT]]="EMPLOYED", MASTER_TABLE[[#This Row],[actual order]],NA())</f>
        <v>#N/A</v>
      </c>
      <c r="H321" s="4">
        <f>IF(MASTER_TABLE[[#This Row],[EMPLOYMENT]]="UNEMPLOYED", MASTER_TABLE[[#This Row],[actual order]], NA())</f>
        <v>470</v>
      </c>
    </row>
    <row r="322" spans="1:8" x14ac:dyDescent="0.25">
      <c r="A322" s="1">
        <v>41680</v>
      </c>
      <c r="B322">
        <v>9</v>
      </c>
      <c r="C322">
        <v>458</v>
      </c>
      <c r="D322" t="s">
        <v>21</v>
      </c>
      <c r="E322">
        <v>16</v>
      </c>
      <c r="F322" t="s">
        <v>4</v>
      </c>
      <c r="G322" s="4" t="e">
        <f>IF(MASTER_TABLE[[#This Row],[EMPLOYMENT]]="EMPLOYED", MASTER_TABLE[[#This Row],[actual order]],NA())</f>
        <v>#N/A</v>
      </c>
      <c r="H322" s="4">
        <f>IF(MASTER_TABLE[[#This Row],[EMPLOYMENT]]="UNEMPLOYED", MASTER_TABLE[[#This Row],[actual order]], NA())</f>
        <v>458</v>
      </c>
    </row>
    <row r="323" spans="1:8" x14ac:dyDescent="0.25">
      <c r="A323" s="1">
        <v>41684</v>
      </c>
      <c r="B323">
        <v>9</v>
      </c>
      <c r="C323">
        <v>451</v>
      </c>
      <c r="D323" t="s">
        <v>21</v>
      </c>
      <c r="E323">
        <v>16</v>
      </c>
      <c r="F323" t="s">
        <v>4</v>
      </c>
      <c r="G323" s="4" t="e">
        <f>IF(MASTER_TABLE[[#This Row],[EMPLOYMENT]]="EMPLOYED", MASTER_TABLE[[#This Row],[actual order]],NA())</f>
        <v>#N/A</v>
      </c>
      <c r="H323" s="4">
        <f>IF(MASTER_TABLE[[#This Row],[EMPLOYMENT]]="UNEMPLOYED", MASTER_TABLE[[#This Row],[actual order]], NA())</f>
        <v>451</v>
      </c>
    </row>
    <row r="324" spans="1:8" x14ac:dyDescent="0.25">
      <c r="A324" s="1">
        <v>41692</v>
      </c>
      <c r="B324">
        <v>9</v>
      </c>
      <c r="C324">
        <v>489</v>
      </c>
      <c r="D324" t="s">
        <v>21</v>
      </c>
      <c r="E324">
        <v>16</v>
      </c>
      <c r="F324" t="s">
        <v>4</v>
      </c>
      <c r="G324" s="4" t="e">
        <f>IF(MASTER_TABLE[[#This Row],[EMPLOYMENT]]="EMPLOYED", MASTER_TABLE[[#This Row],[actual order]],NA())</f>
        <v>#N/A</v>
      </c>
      <c r="H324" s="4">
        <f>IF(MASTER_TABLE[[#This Row],[EMPLOYMENT]]="UNEMPLOYED", MASTER_TABLE[[#This Row],[actual order]], NA())</f>
        <v>489</v>
      </c>
    </row>
    <row r="325" spans="1:8" x14ac:dyDescent="0.25">
      <c r="A325" s="1">
        <v>41694</v>
      </c>
      <c r="B325">
        <v>9</v>
      </c>
      <c r="C325">
        <v>399</v>
      </c>
      <c r="D325" t="s">
        <v>21</v>
      </c>
      <c r="E325">
        <v>16</v>
      </c>
      <c r="F325" t="s">
        <v>4</v>
      </c>
      <c r="G325" s="4" t="e">
        <f>IF(MASTER_TABLE[[#This Row],[EMPLOYMENT]]="EMPLOYED", MASTER_TABLE[[#This Row],[actual order]],NA())</f>
        <v>#N/A</v>
      </c>
      <c r="H325" s="4">
        <f>IF(MASTER_TABLE[[#This Row],[EMPLOYMENT]]="UNEMPLOYED", MASTER_TABLE[[#This Row],[actual order]], NA())</f>
        <v>399</v>
      </c>
    </row>
    <row r="326" spans="1:8" x14ac:dyDescent="0.25">
      <c r="A326" s="1">
        <v>41699</v>
      </c>
      <c r="B326">
        <v>9</v>
      </c>
      <c r="C326">
        <v>441</v>
      </c>
      <c r="D326" t="s">
        <v>21</v>
      </c>
      <c r="E326">
        <v>16</v>
      </c>
      <c r="F326" t="s">
        <v>4</v>
      </c>
      <c r="G326" s="4" t="e">
        <f>IF(MASTER_TABLE[[#This Row],[EMPLOYMENT]]="EMPLOYED", MASTER_TABLE[[#This Row],[actual order]],NA())</f>
        <v>#N/A</v>
      </c>
      <c r="H326" s="4">
        <f>IF(MASTER_TABLE[[#This Row],[EMPLOYMENT]]="UNEMPLOYED", MASTER_TABLE[[#This Row],[actual order]], NA())</f>
        <v>441</v>
      </c>
    </row>
    <row r="327" spans="1:8" x14ac:dyDescent="0.25">
      <c r="A327" s="1">
        <v>41702</v>
      </c>
      <c r="B327">
        <v>9</v>
      </c>
      <c r="C327">
        <v>424</v>
      </c>
      <c r="D327" t="s">
        <v>21</v>
      </c>
      <c r="E327">
        <v>16</v>
      </c>
      <c r="F327" t="s">
        <v>4</v>
      </c>
      <c r="G327" s="4" t="e">
        <f>IF(MASTER_TABLE[[#This Row],[EMPLOYMENT]]="EMPLOYED", MASTER_TABLE[[#This Row],[actual order]],NA())</f>
        <v>#N/A</v>
      </c>
      <c r="H327" s="4">
        <f>IF(MASTER_TABLE[[#This Row],[EMPLOYMENT]]="UNEMPLOYED", MASTER_TABLE[[#This Row],[actual order]], NA())</f>
        <v>424</v>
      </c>
    </row>
    <row r="328" spans="1:8" x14ac:dyDescent="0.25">
      <c r="A328" s="1">
        <v>41714</v>
      </c>
      <c r="B328">
        <v>9</v>
      </c>
      <c r="C328">
        <v>506</v>
      </c>
      <c r="D328" t="s">
        <v>21</v>
      </c>
      <c r="E328">
        <v>16</v>
      </c>
      <c r="F328" t="s">
        <v>4</v>
      </c>
      <c r="G328" s="4" t="e">
        <f>IF(MASTER_TABLE[[#This Row],[EMPLOYMENT]]="EMPLOYED", MASTER_TABLE[[#This Row],[actual order]],NA())</f>
        <v>#N/A</v>
      </c>
      <c r="H328" s="4">
        <f>IF(MASTER_TABLE[[#This Row],[EMPLOYMENT]]="UNEMPLOYED", MASTER_TABLE[[#This Row],[actual order]], NA())</f>
        <v>506</v>
      </c>
    </row>
    <row r="329" spans="1:8" x14ac:dyDescent="0.25">
      <c r="A329" s="1">
        <v>41716</v>
      </c>
      <c r="B329">
        <v>9</v>
      </c>
      <c r="C329">
        <v>439</v>
      </c>
      <c r="D329" t="s">
        <v>21</v>
      </c>
      <c r="E329">
        <v>16</v>
      </c>
      <c r="F329" t="s">
        <v>4</v>
      </c>
      <c r="G329" s="4" t="e">
        <f>IF(MASTER_TABLE[[#This Row],[EMPLOYMENT]]="EMPLOYED", MASTER_TABLE[[#This Row],[actual order]],NA())</f>
        <v>#N/A</v>
      </c>
      <c r="H329" s="4">
        <f>IF(MASTER_TABLE[[#This Row],[EMPLOYMENT]]="UNEMPLOYED", MASTER_TABLE[[#This Row],[actual order]], NA())</f>
        <v>439</v>
      </c>
    </row>
    <row r="330" spans="1:8" x14ac:dyDescent="0.25">
      <c r="A330" s="1">
        <v>41721</v>
      </c>
      <c r="B330">
        <v>9</v>
      </c>
      <c r="C330">
        <v>435</v>
      </c>
      <c r="D330" t="s">
        <v>21</v>
      </c>
      <c r="E330">
        <v>16</v>
      </c>
      <c r="F330" t="s">
        <v>4</v>
      </c>
      <c r="G330" s="4" t="e">
        <f>IF(MASTER_TABLE[[#This Row],[EMPLOYMENT]]="EMPLOYED", MASTER_TABLE[[#This Row],[actual order]],NA())</f>
        <v>#N/A</v>
      </c>
      <c r="H330" s="4">
        <f>IF(MASTER_TABLE[[#This Row],[EMPLOYMENT]]="UNEMPLOYED", MASTER_TABLE[[#This Row],[actual order]], NA())</f>
        <v>435</v>
      </c>
    </row>
    <row r="331" spans="1:8" x14ac:dyDescent="0.25">
      <c r="A331" s="1">
        <v>41731</v>
      </c>
      <c r="B331">
        <v>9</v>
      </c>
      <c r="C331">
        <v>469</v>
      </c>
      <c r="D331" t="s">
        <v>21</v>
      </c>
      <c r="E331">
        <v>16</v>
      </c>
      <c r="F331" t="s">
        <v>4</v>
      </c>
      <c r="G331" s="4" t="e">
        <f>IF(MASTER_TABLE[[#This Row],[EMPLOYMENT]]="EMPLOYED", MASTER_TABLE[[#This Row],[actual order]],NA())</f>
        <v>#N/A</v>
      </c>
      <c r="H331" s="4">
        <f>IF(MASTER_TABLE[[#This Row],[EMPLOYMENT]]="UNEMPLOYED", MASTER_TABLE[[#This Row],[actual order]], NA())</f>
        <v>469</v>
      </c>
    </row>
    <row r="332" spans="1:8" x14ac:dyDescent="0.25">
      <c r="A332" s="1">
        <v>41733</v>
      </c>
      <c r="B332">
        <v>9</v>
      </c>
      <c r="C332">
        <v>477</v>
      </c>
      <c r="D332" t="s">
        <v>21</v>
      </c>
      <c r="E332">
        <v>16</v>
      </c>
      <c r="F332" t="s">
        <v>4</v>
      </c>
      <c r="G332" s="4" t="e">
        <f>IF(MASTER_TABLE[[#This Row],[EMPLOYMENT]]="EMPLOYED", MASTER_TABLE[[#This Row],[actual order]],NA())</f>
        <v>#N/A</v>
      </c>
      <c r="H332" s="4">
        <f>IF(MASTER_TABLE[[#This Row],[EMPLOYMENT]]="UNEMPLOYED", MASTER_TABLE[[#This Row],[actual order]], NA())</f>
        <v>477</v>
      </c>
    </row>
    <row r="333" spans="1:8" x14ac:dyDescent="0.25">
      <c r="A333" s="1">
        <v>41746</v>
      </c>
      <c r="B333">
        <v>9</v>
      </c>
      <c r="C333">
        <v>449</v>
      </c>
      <c r="D333" t="s">
        <v>21</v>
      </c>
      <c r="E333">
        <v>16</v>
      </c>
      <c r="F333" t="s">
        <v>4</v>
      </c>
      <c r="G333" s="4" t="e">
        <f>IF(MASTER_TABLE[[#This Row],[EMPLOYMENT]]="EMPLOYED", MASTER_TABLE[[#This Row],[actual order]],NA())</f>
        <v>#N/A</v>
      </c>
      <c r="H333" s="4">
        <f>IF(MASTER_TABLE[[#This Row],[EMPLOYMENT]]="UNEMPLOYED", MASTER_TABLE[[#This Row],[actual order]], NA())</f>
        <v>449</v>
      </c>
    </row>
    <row r="334" spans="1:8" x14ac:dyDescent="0.25">
      <c r="A334" s="1">
        <v>41748</v>
      </c>
      <c r="B334">
        <v>9</v>
      </c>
      <c r="C334">
        <v>429</v>
      </c>
      <c r="D334" t="s">
        <v>21</v>
      </c>
      <c r="E334">
        <v>16</v>
      </c>
      <c r="F334" t="s">
        <v>4</v>
      </c>
      <c r="G334" s="4" t="e">
        <f>IF(MASTER_TABLE[[#This Row],[EMPLOYMENT]]="EMPLOYED", MASTER_TABLE[[#This Row],[actual order]],NA())</f>
        <v>#N/A</v>
      </c>
      <c r="H334" s="4">
        <f>IF(MASTER_TABLE[[#This Row],[EMPLOYMENT]]="UNEMPLOYED", MASTER_TABLE[[#This Row],[actual order]], NA())</f>
        <v>429</v>
      </c>
    </row>
    <row r="335" spans="1:8" x14ac:dyDescent="0.25">
      <c r="A335" s="1">
        <v>41754</v>
      </c>
      <c r="B335">
        <v>9</v>
      </c>
      <c r="C335">
        <v>424</v>
      </c>
      <c r="D335" t="s">
        <v>21</v>
      </c>
      <c r="E335">
        <v>16</v>
      </c>
      <c r="F335" t="s">
        <v>4</v>
      </c>
      <c r="G335" s="4" t="e">
        <f>IF(MASTER_TABLE[[#This Row],[EMPLOYMENT]]="EMPLOYED", MASTER_TABLE[[#This Row],[actual order]],NA())</f>
        <v>#N/A</v>
      </c>
      <c r="H335" s="4">
        <f>IF(MASTER_TABLE[[#This Row],[EMPLOYMENT]]="UNEMPLOYED", MASTER_TABLE[[#This Row],[actual order]], NA())</f>
        <v>424</v>
      </c>
    </row>
    <row r="336" spans="1:8" x14ac:dyDescent="0.25">
      <c r="A336" s="1">
        <v>41759</v>
      </c>
      <c r="B336">
        <v>9</v>
      </c>
      <c r="C336">
        <v>414</v>
      </c>
      <c r="D336" t="s">
        <v>21</v>
      </c>
      <c r="E336">
        <v>16</v>
      </c>
      <c r="F336" t="s">
        <v>4</v>
      </c>
      <c r="G336" s="4" t="e">
        <f>IF(MASTER_TABLE[[#This Row],[EMPLOYMENT]]="EMPLOYED", MASTER_TABLE[[#This Row],[actual order]],NA())</f>
        <v>#N/A</v>
      </c>
      <c r="H336" s="4">
        <f>IF(MASTER_TABLE[[#This Row],[EMPLOYMENT]]="UNEMPLOYED", MASTER_TABLE[[#This Row],[actual order]], NA())</f>
        <v>414</v>
      </c>
    </row>
    <row r="337" spans="1:8" x14ac:dyDescent="0.25">
      <c r="A337" s="1">
        <v>41768</v>
      </c>
      <c r="B337">
        <v>9</v>
      </c>
      <c r="C337">
        <v>400</v>
      </c>
      <c r="D337" t="s">
        <v>21</v>
      </c>
      <c r="E337">
        <v>16</v>
      </c>
      <c r="F337" t="s">
        <v>4</v>
      </c>
      <c r="G337" s="4" t="e">
        <f>IF(MASTER_TABLE[[#This Row],[EMPLOYMENT]]="EMPLOYED", MASTER_TABLE[[#This Row],[actual order]],NA())</f>
        <v>#N/A</v>
      </c>
      <c r="H337" s="4">
        <f>IF(MASTER_TABLE[[#This Row],[EMPLOYMENT]]="UNEMPLOYED", MASTER_TABLE[[#This Row],[actual order]], NA())</f>
        <v>400</v>
      </c>
    </row>
    <row r="338" spans="1:8" x14ac:dyDescent="0.25">
      <c r="A338" s="1">
        <v>41770</v>
      </c>
      <c r="B338">
        <v>9</v>
      </c>
      <c r="C338">
        <v>467</v>
      </c>
      <c r="D338" t="s">
        <v>21</v>
      </c>
      <c r="E338">
        <v>16</v>
      </c>
      <c r="F338" t="s">
        <v>4</v>
      </c>
      <c r="G338" s="4" t="e">
        <f>IF(MASTER_TABLE[[#This Row],[EMPLOYMENT]]="EMPLOYED", MASTER_TABLE[[#This Row],[actual order]],NA())</f>
        <v>#N/A</v>
      </c>
      <c r="H338" s="4">
        <f>IF(MASTER_TABLE[[#This Row],[EMPLOYMENT]]="UNEMPLOYED", MASTER_TABLE[[#This Row],[actual order]], NA())</f>
        <v>467</v>
      </c>
    </row>
    <row r="339" spans="1:8" x14ac:dyDescent="0.25">
      <c r="A339" s="1">
        <v>41780</v>
      </c>
      <c r="B339">
        <v>9</v>
      </c>
      <c r="C339">
        <v>483</v>
      </c>
      <c r="D339" t="s">
        <v>21</v>
      </c>
      <c r="E339">
        <v>16</v>
      </c>
      <c r="F339" t="s">
        <v>4</v>
      </c>
      <c r="G339" s="4" t="e">
        <f>IF(MASTER_TABLE[[#This Row],[EMPLOYMENT]]="EMPLOYED", MASTER_TABLE[[#This Row],[actual order]],NA())</f>
        <v>#N/A</v>
      </c>
      <c r="H339" s="4">
        <f>IF(MASTER_TABLE[[#This Row],[EMPLOYMENT]]="UNEMPLOYED", MASTER_TABLE[[#This Row],[actual order]], NA())</f>
        <v>483</v>
      </c>
    </row>
    <row r="340" spans="1:8" x14ac:dyDescent="0.25">
      <c r="A340" s="1">
        <v>41782</v>
      </c>
      <c r="B340">
        <v>9</v>
      </c>
      <c r="C340">
        <v>477</v>
      </c>
      <c r="D340" t="s">
        <v>21</v>
      </c>
      <c r="E340">
        <v>16</v>
      </c>
      <c r="F340" t="s">
        <v>4</v>
      </c>
      <c r="G340" s="4" t="e">
        <f>IF(MASTER_TABLE[[#This Row],[EMPLOYMENT]]="EMPLOYED", MASTER_TABLE[[#This Row],[actual order]],NA())</f>
        <v>#N/A</v>
      </c>
      <c r="H340" s="4">
        <f>IF(MASTER_TABLE[[#This Row],[EMPLOYMENT]]="UNEMPLOYED", MASTER_TABLE[[#This Row],[actual order]], NA())</f>
        <v>477</v>
      </c>
    </row>
    <row r="341" spans="1:8" x14ac:dyDescent="0.25">
      <c r="A341" s="1">
        <v>41782</v>
      </c>
      <c r="B341">
        <v>9</v>
      </c>
      <c r="C341">
        <v>403</v>
      </c>
      <c r="D341" t="s">
        <v>21</v>
      </c>
      <c r="E341">
        <v>16</v>
      </c>
      <c r="F341" t="s">
        <v>4</v>
      </c>
      <c r="G341" s="4" t="e">
        <f>IF(MASTER_TABLE[[#This Row],[EMPLOYMENT]]="EMPLOYED", MASTER_TABLE[[#This Row],[actual order]],NA())</f>
        <v>#N/A</v>
      </c>
      <c r="H341" s="4">
        <f>IF(MASTER_TABLE[[#This Row],[EMPLOYMENT]]="UNEMPLOYED", MASTER_TABLE[[#This Row],[actual order]], NA())</f>
        <v>403</v>
      </c>
    </row>
    <row r="342" spans="1:8" x14ac:dyDescent="0.25">
      <c r="A342" s="1">
        <v>41787</v>
      </c>
      <c r="B342">
        <v>9</v>
      </c>
      <c r="C342">
        <v>439</v>
      </c>
      <c r="D342" t="s">
        <v>21</v>
      </c>
      <c r="E342">
        <v>16</v>
      </c>
      <c r="F342" t="s">
        <v>4</v>
      </c>
      <c r="G342" s="4" t="e">
        <f>IF(MASTER_TABLE[[#This Row],[EMPLOYMENT]]="EMPLOYED", MASTER_TABLE[[#This Row],[actual order]],NA())</f>
        <v>#N/A</v>
      </c>
      <c r="H342" s="4">
        <f>IF(MASTER_TABLE[[#This Row],[EMPLOYMENT]]="UNEMPLOYED", MASTER_TABLE[[#This Row],[actual order]], NA())</f>
        <v>439</v>
      </c>
    </row>
    <row r="343" spans="1:8" x14ac:dyDescent="0.25">
      <c r="A343" s="1">
        <v>41787</v>
      </c>
      <c r="B343">
        <v>9</v>
      </c>
      <c r="C343">
        <v>478</v>
      </c>
      <c r="D343" t="s">
        <v>21</v>
      </c>
      <c r="E343">
        <v>16</v>
      </c>
      <c r="F343" t="s">
        <v>4</v>
      </c>
      <c r="G343" s="4" t="e">
        <f>IF(MASTER_TABLE[[#This Row],[EMPLOYMENT]]="EMPLOYED", MASTER_TABLE[[#This Row],[actual order]],NA())</f>
        <v>#N/A</v>
      </c>
      <c r="H343" s="4">
        <f>IF(MASTER_TABLE[[#This Row],[EMPLOYMENT]]="UNEMPLOYED", MASTER_TABLE[[#This Row],[actual order]], NA())</f>
        <v>478</v>
      </c>
    </row>
    <row r="344" spans="1:8" x14ac:dyDescent="0.25">
      <c r="A344" s="1">
        <v>41790</v>
      </c>
      <c r="B344">
        <v>9</v>
      </c>
      <c r="C344">
        <v>477</v>
      </c>
      <c r="D344" t="s">
        <v>21</v>
      </c>
      <c r="E344">
        <v>16</v>
      </c>
      <c r="F344" t="s">
        <v>4</v>
      </c>
      <c r="G344" s="4" t="e">
        <f>IF(MASTER_TABLE[[#This Row],[EMPLOYMENT]]="EMPLOYED", MASTER_TABLE[[#This Row],[actual order]],NA())</f>
        <v>#N/A</v>
      </c>
      <c r="H344" s="4">
        <f>IF(MASTER_TABLE[[#This Row],[EMPLOYMENT]]="UNEMPLOYED", MASTER_TABLE[[#This Row],[actual order]], NA())</f>
        <v>477</v>
      </c>
    </row>
    <row r="345" spans="1:8" x14ac:dyDescent="0.25">
      <c r="A345" s="1">
        <v>41796</v>
      </c>
      <c r="B345">
        <v>9</v>
      </c>
      <c r="C345">
        <v>450</v>
      </c>
      <c r="D345" t="s">
        <v>21</v>
      </c>
      <c r="E345">
        <v>16</v>
      </c>
      <c r="F345" t="s">
        <v>4</v>
      </c>
      <c r="G345" s="4" t="e">
        <f>IF(MASTER_TABLE[[#This Row],[EMPLOYMENT]]="EMPLOYED", MASTER_TABLE[[#This Row],[actual order]],NA())</f>
        <v>#N/A</v>
      </c>
      <c r="H345" s="4">
        <f>IF(MASTER_TABLE[[#This Row],[EMPLOYMENT]]="UNEMPLOYED", MASTER_TABLE[[#This Row],[actual order]], NA())</f>
        <v>450</v>
      </c>
    </row>
    <row r="346" spans="1:8" x14ac:dyDescent="0.25">
      <c r="A346" s="1">
        <v>41797</v>
      </c>
      <c r="B346">
        <v>9</v>
      </c>
      <c r="C346">
        <v>407</v>
      </c>
      <c r="D346" t="s">
        <v>21</v>
      </c>
      <c r="E346">
        <v>16</v>
      </c>
      <c r="F346" t="s">
        <v>4</v>
      </c>
      <c r="G346" s="4" t="e">
        <f>IF(MASTER_TABLE[[#This Row],[EMPLOYMENT]]="EMPLOYED", MASTER_TABLE[[#This Row],[actual order]],NA())</f>
        <v>#N/A</v>
      </c>
      <c r="H346" s="4">
        <f>IF(MASTER_TABLE[[#This Row],[EMPLOYMENT]]="UNEMPLOYED", MASTER_TABLE[[#This Row],[actual order]], NA())</f>
        <v>407</v>
      </c>
    </row>
    <row r="347" spans="1:8" x14ac:dyDescent="0.25">
      <c r="A347" s="1">
        <v>41801</v>
      </c>
      <c r="B347">
        <v>9</v>
      </c>
      <c r="C347">
        <v>393</v>
      </c>
      <c r="D347" t="s">
        <v>21</v>
      </c>
      <c r="E347">
        <v>16</v>
      </c>
      <c r="F347" t="s">
        <v>4</v>
      </c>
      <c r="G347" s="4" t="e">
        <f>IF(MASTER_TABLE[[#This Row],[EMPLOYMENT]]="EMPLOYED", MASTER_TABLE[[#This Row],[actual order]],NA())</f>
        <v>#N/A</v>
      </c>
      <c r="H347" s="4">
        <f>IF(MASTER_TABLE[[#This Row],[EMPLOYMENT]]="UNEMPLOYED", MASTER_TABLE[[#This Row],[actual order]], NA())</f>
        <v>393</v>
      </c>
    </row>
    <row r="348" spans="1:8" x14ac:dyDescent="0.25">
      <c r="A348" s="1">
        <v>41801</v>
      </c>
      <c r="B348">
        <v>9</v>
      </c>
      <c r="C348">
        <v>430</v>
      </c>
      <c r="D348" t="s">
        <v>21</v>
      </c>
      <c r="E348">
        <v>16</v>
      </c>
      <c r="F348" t="s">
        <v>4</v>
      </c>
      <c r="G348" s="4" t="e">
        <f>IF(MASTER_TABLE[[#This Row],[EMPLOYMENT]]="EMPLOYED", MASTER_TABLE[[#This Row],[actual order]],NA())</f>
        <v>#N/A</v>
      </c>
      <c r="H348" s="4">
        <f>IF(MASTER_TABLE[[#This Row],[EMPLOYMENT]]="UNEMPLOYED", MASTER_TABLE[[#This Row],[actual order]], NA())</f>
        <v>430</v>
      </c>
    </row>
    <row r="349" spans="1:8" x14ac:dyDescent="0.25">
      <c r="A349" s="1">
        <v>41619</v>
      </c>
      <c r="B349">
        <v>10</v>
      </c>
      <c r="C349">
        <v>411</v>
      </c>
      <c r="D349" t="s">
        <v>21</v>
      </c>
      <c r="E349">
        <v>10</v>
      </c>
      <c r="F349" t="s">
        <v>3</v>
      </c>
      <c r="G349" s="4" t="e">
        <f>IF(MASTER_TABLE[[#This Row],[EMPLOYMENT]]="EMPLOYED", MASTER_TABLE[[#This Row],[actual order]],NA())</f>
        <v>#N/A</v>
      </c>
      <c r="H349" s="4">
        <f>IF(MASTER_TABLE[[#This Row],[EMPLOYMENT]]="UNEMPLOYED", MASTER_TABLE[[#This Row],[actual order]], NA())</f>
        <v>411</v>
      </c>
    </row>
    <row r="350" spans="1:8" x14ac:dyDescent="0.25">
      <c r="A350" s="1">
        <v>41620</v>
      </c>
      <c r="B350">
        <v>10</v>
      </c>
      <c r="C350">
        <v>471</v>
      </c>
      <c r="D350" t="s">
        <v>21</v>
      </c>
      <c r="E350">
        <v>10</v>
      </c>
      <c r="F350" t="s">
        <v>3</v>
      </c>
      <c r="G350" s="4" t="e">
        <f>IF(MASTER_TABLE[[#This Row],[EMPLOYMENT]]="EMPLOYED", MASTER_TABLE[[#This Row],[actual order]],NA())</f>
        <v>#N/A</v>
      </c>
      <c r="H350" s="4">
        <f>IF(MASTER_TABLE[[#This Row],[EMPLOYMENT]]="UNEMPLOYED", MASTER_TABLE[[#This Row],[actual order]], NA())</f>
        <v>471</v>
      </c>
    </row>
    <row r="351" spans="1:8" x14ac:dyDescent="0.25">
      <c r="A351" s="1">
        <v>41622</v>
      </c>
      <c r="B351">
        <v>10</v>
      </c>
      <c r="C351">
        <v>456</v>
      </c>
      <c r="D351" t="s">
        <v>21</v>
      </c>
      <c r="E351">
        <v>10</v>
      </c>
      <c r="F351" t="s">
        <v>3</v>
      </c>
      <c r="G351" s="4" t="e">
        <f>IF(MASTER_TABLE[[#This Row],[EMPLOYMENT]]="EMPLOYED", MASTER_TABLE[[#This Row],[actual order]],NA())</f>
        <v>#N/A</v>
      </c>
      <c r="H351" s="4">
        <f>IF(MASTER_TABLE[[#This Row],[EMPLOYMENT]]="UNEMPLOYED", MASTER_TABLE[[#This Row],[actual order]], NA())</f>
        <v>456</v>
      </c>
    </row>
    <row r="352" spans="1:8" x14ac:dyDescent="0.25">
      <c r="A352" s="1">
        <v>41627</v>
      </c>
      <c r="B352">
        <v>10</v>
      </c>
      <c r="C352">
        <v>435</v>
      </c>
      <c r="D352" t="s">
        <v>21</v>
      </c>
      <c r="E352">
        <v>10</v>
      </c>
      <c r="F352" t="s">
        <v>3</v>
      </c>
      <c r="G352" s="4" t="e">
        <f>IF(MASTER_TABLE[[#This Row],[EMPLOYMENT]]="EMPLOYED", MASTER_TABLE[[#This Row],[actual order]],NA())</f>
        <v>#N/A</v>
      </c>
      <c r="H352" s="4">
        <f>IF(MASTER_TABLE[[#This Row],[EMPLOYMENT]]="UNEMPLOYED", MASTER_TABLE[[#This Row],[actual order]], NA())</f>
        <v>435</v>
      </c>
    </row>
    <row r="353" spans="1:8" x14ac:dyDescent="0.25">
      <c r="A353" s="1">
        <v>41629</v>
      </c>
      <c r="B353">
        <v>10</v>
      </c>
      <c r="C353">
        <v>400</v>
      </c>
      <c r="D353" t="s">
        <v>21</v>
      </c>
      <c r="E353">
        <v>10</v>
      </c>
      <c r="F353" t="s">
        <v>3</v>
      </c>
      <c r="G353" s="4" t="e">
        <f>IF(MASTER_TABLE[[#This Row],[EMPLOYMENT]]="EMPLOYED", MASTER_TABLE[[#This Row],[actual order]],NA())</f>
        <v>#N/A</v>
      </c>
      <c r="H353" s="4">
        <f>IF(MASTER_TABLE[[#This Row],[EMPLOYMENT]]="UNEMPLOYED", MASTER_TABLE[[#This Row],[actual order]], NA())</f>
        <v>400</v>
      </c>
    </row>
    <row r="354" spans="1:8" x14ac:dyDescent="0.25">
      <c r="A354" s="1">
        <v>41645</v>
      </c>
      <c r="B354">
        <v>10</v>
      </c>
      <c r="C354">
        <v>398</v>
      </c>
      <c r="D354" t="s">
        <v>21</v>
      </c>
      <c r="E354">
        <v>10</v>
      </c>
      <c r="F354" t="s">
        <v>3</v>
      </c>
      <c r="G354" s="4" t="e">
        <f>IF(MASTER_TABLE[[#This Row],[EMPLOYMENT]]="EMPLOYED", MASTER_TABLE[[#This Row],[actual order]],NA())</f>
        <v>#N/A</v>
      </c>
      <c r="H354" s="4">
        <f>IF(MASTER_TABLE[[#This Row],[EMPLOYMENT]]="UNEMPLOYED", MASTER_TABLE[[#This Row],[actual order]], NA())</f>
        <v>398</v>
      </c>
    </row>
    <row r="355" spans="1:8" x14ac:dyDescent="0.25">
      <c r="A355" s="1">
        <v>41647</v>
      </c>
      <c r="B355">
        <v>10</v>
      </c>
      <c r="C355">
        <v>428</v>
      </c>
      <c r="D355" t="s">
        <v>21</v>
      </c>
      <c r="E355">
        <v>10</v>
      </c>
      <c r="F355" t="s">
        <v>3</v>
      </c>
      <c r="G355" s="4" t="e">
        <f>IF(MASTER_TABLE[[#This Row],[EMPLOYMENT]]="EMPLOYED", MASTER_TABLE[[#This Row],[actual order]],NA())</f>
        <v>#N/A</v>
      </c>
      <c r="H355" s="4">
        <f>IF(MASTER_TABLE[[#This Row],[EMPLOYMENT]]="UNEMPLOYED", MASTER_TABLE[[#This Row],[actual order]], NA())</f>
        <v>428</v>
      </c>
    </row>
    <row r="356" spans="1:8" x14ac:dyDescent="0.25">
      <c r="A356" s="1">
        <v>41648</v>
      </c>
      <c r="B356">
        <v>10</v>
      </c>
      <c r="C356">
        <v>430</v>
      </c>
      <c r="D356" t="s">
        <v>21</v>
      </c>
      <c r="E356">
        <v>10</v>
      </c>
      <c r="F356" t="s">
        <v>3</v>
      </c>
      <c r="G356" s="4" t="e">
        <f>IF(MASTER_TABLE[[#This Row],[EMPLOYMENT]]="EMPLOYED", MASTER_TABLE[[#This Row],[actual order]],NA())</f>
        <v>#N/A</v>
      </c>
      <c r="H356" s="4">
        <f>IF(MASTER_TABLE[[#This Row],[EMPLOYMENT]]="UNEMPLOYED", MASTER_TABLE[[#This Row],[actual order]], NA())</f>
        <v>430</v>
      </c>
    </row>
    <row r="357" spans="1:8" x14ac:dyDescent="0.25">
      <c r="A357" s="1">
        <v>41672</v>
      </c>
      <c r="B357">
        <v>10</v>
      </c>
      <c r="C357">
        <v>422</v>
      </c>
      <c r="D357" t="s">
        <v>21</v>
      </c>
      <c r="E357">
        <v>10</v>
      </c>
      <c r="F357" t="s">
        <v>3</v>
      </c>
      <c r="G357" s="4" t="e">
        <f>IF(MASTER_TABLE[[#This Row],[EMPLOYMENT]]="EMPLOYED", MASTER_TABLE[[#This Row],[actual order]],NA())</f>
        <v>#N/A</v>
      </c>
      <c r="H357" s="4">
        <f>IF(MASTER_TABLE[[#This Row],[EMPLOYMENT]]="UNEMPLOYED", MASTER_TABLE[[#This Row],[actual order]], NA())</f>
        <v>422</v>
      </c>
    </row>
    <row r="358" spans="1:8" x14ac:dyDescent="0.25">
      <c r="A358" s="1">
        <v>41685</v>
      </c>
      <c r="B358">
        <v>10</v>
      </c>
      <c r="C358">
        <v>417</v>
      </c>
      <c r="D358" t="s">
        <v>21</v>
      </c>
      <c r="E358">
        <v>10</v>
      </c>
      <c r="F358" t="s">
        <v>3</v>
      </c>
      <c r="G358" s="4" t="e">
        <f>IF(MASTER_TABLE[[#This Row],[EMPLOYMENT]]="EMPLOYED", MASTER_TABLE[[#This Row],[actual order]],NA())</f>
        <v>#N/A</v>
      </c>
      <c r="H358" s="4">
        <f>IF(MASTER_TABLE[[#This Row],[EMPLOYMENT]]="UNEMPLOYED", MASTER_TABLE[[#This Row],[actual order]], NA())</f>
        <v>417</v>
      </c>
    </row>
    <row r="359" spans="1:8" x14ac:dyDescent="0.25">
      <c r="A359" s="1">
        <v>41685</v>
      </c>
      <c r="B359">
        <v>10</v>
      </c>
      <c r="C359">
        <v>410</v>
      </c>
      <c r="D359" t="s">
        <v>21</v>
      </c>
      <c r="E359">
        <v>10</v>
      </c>
      <c r="F359" t="s">
        <v>3</v>
      </c>
      <c r="G359" s="4" t="e">
        <f>IF(MASTER_TABLE[[#This Row],[EMPLOYMENT]]="EMPLOYED", MASTER_TABLE[[#This Row],[actual order]],NA())</f>
        <v>#N/A</v>
      </c>
      <c r="H359" s="4">
        <f>IF(MASTER_TABLE[[#This Row],[EMPLOYMENT]]="UNEMPLOYED", MASTER_TABLE[[#This Row],[actual order]], NA())</f>
        <v>410</v>
      </c>
    </row>
    <row r="360" spans="1:8" x14ac:dyDescent="0.25">
      <c r="A360" s="1">
        <v>41690</v>
      </c>
      <c r="B360">
        <v>10</v>
      </c>
      <c r="C360">
        <v>464</v>
      </c>
      <c r="D360" t="s">
        <v>21</v>
      </c>
      <c r="E360">
        <v>10</v>
      </c>
      <c r="F360" t="s">
        <v>3</v>
      </c>
      <c r="G360" s="4" t="e">
        <f>IF(MASTER_TABLE[[#This Row],[EMPLOYMENT]]="EMPLOYED", MASTER_TABLE[[#This Row],[actual order]],NA())</f>
        <v>#N/A</v>
      </c>
      <c r="H360" s="4">
        <f>IF(MASTER_TABLE[[#This Row],[EMPLOYMENT]]="UNEMPLOYED", MASTER_TABLE[[#This Row],[actual order]], NA())</f>
        <v>464</v>
      </c>
    </row>
    <row r="361" spans="1:8" x14ac:dyDescent="0.25">
      <c r="A361" s="1">
        <v>41706</v>
      </c>
      <c r="B361">
        <v>10</v>
      </c>
      <c r="C361">
        <v>399</v>
      </c>
      <c r="D361" t="s">
        <v>21</v>
      </c>
      <c r="E361">
        <v>10</v>
      </c>
      <c r="F361" t="s">
        <v>3</v>
      </c>
      <c r="G361" s="4" t="e">
        <f>IF(MASTER_TABLE[[#This Row],[EMPLOYMENT]]="EMPLOYED", MASTER_TABLE[[#This Row],[actual order]],NA())</f>
        <v>#N/A</v>
      </c>
      <c r="H361" s="4">
        <f>IF(MASTER_TABLE[[#This Row],[EMPLOYMENT]]="UNEMPLOYED", MASTER_TABLE[[#This Row],[actual order]], NA())</f>
        <v>399</v>
      </c>
    </row>
    <row r="362" spans="1:8" x14ac:dyDescent="0.25">
      <c r="A362" s="1">
        <v>41711</v>
      </c>
      <c r="B362">
        <v>10</v>
      </c>
      <c r="C362">
        <v>469</v>
      </c>
      <c r="D362" t="s">
        <v>21</v>
      </c>
      <c r="E362">
        <v>10</v>
      </c>
      <c r="F362" t="s">
        <v>3</v>
      </c>
      <c r="G362" s="4" t="e">
        <f>IF(MASTER_TABLE[[#This Row],[EMPLOYMENT]]="EMPLOYED", MASTER_TABLE[[#This Row],[actual order]],NA())</f>
        <v>#N/A</v>
      </c>
      <c r="H362" s="4">
        <f>IF(MASTER_TABLE[[#This Row],[EMPLOYMENT]]="UNEMPLOYED", MASTER_TABLE[[#This Row],[actual order]], NA())</f>
        <v>469</v>
      </c>
    </row>
    <row r="363" spans="1:8" x14ac:dyDescent="0.25">
      <c r="A363" s="1">
        <v>41713</v>
      </c>
      <c r="B363">
        <v>10</v>
      </c>
      <c r="C363">
        <v>385</v>
      </c>
      <c r="D363" t="s">
        <v>21</v>
      </c>
      <c r="E363">
        <v>10</v>
      </c>
      <c r="F363" t="s">
        <v>3</v>
      </c>
      <c r="G363" s="4" t="e">
        <f>IF(MASTER_TABLE[[#This Row],[EMPLOYMENT]]="EMPLOYED", MASTER_TABLE[[#This Row],[actual order]],NA())</f>
        <v>#N/A</v>
      </c>
      <c r="H363" s="4">
        <f>IF(MASTER_TABLE[[#This Row],[EMPLOYMENT]]="UNEMPLOYED", MASTER_TABLE[[#This Row],[actual order]], NA())</f>
        <v>385</v>
      </c>
    </row>
    <row r="364" spans="1:8" x14ac:dyDescent="0.25">
      <c r="A364" s="1">
        <v>41716</v>
      </c>
      <c r="B364">
        <v>10</v>
      </c>
      <c r="C364">
        <v>441</v>
      </c>
      <c r="D364" t="s">
        <v>21</v>
      </c>
      <c r="E364">
        <v>10</v>
      </c>
      <c r="F364" t="s">
        <v>3</v>
      </c>
      <c r="G364" s="4" t="e">
        <f>IF(MASTER_TABLE[[#This Row],[EMPLOYMENT]]="EMPLOYED", MASTER_TABLE[[#This Row],[actual order]],NA())</f>
        <v>#N/A</v>
      </c>
      <c r="H364" s="4">
        <f>IF(MASTER_TABLE[[#This Row],[EMPLOYMENT]]="UNEMPLOYED", MASTER_TABLE[[#This Row],[actual order]], NA())</f>
        <v>441</v>
      </c>
    </row>
    <row r="365" spans="1:8" x14ac:dyDescent="0.25">
      <c r="A365" s="1">
        <v>41721</v>
      </c>
      <c r="B365">
        <v>10</v>
      </c>
      <c r="C365">
        <v>431</v>
      </c>
      <c r="D365" t="s">
        <v>21</v>
      </c>
      <c r="E365">
        <v>10</v>
      </c>
      <c r="F365" t="s">
        <v>3</v>
      </c>
      <c r="G365" s="4" t="e">
        <f>IF(MASTER_TABLE[[#This Row],[EMPLOYMENT]]="EMPLOYED", MASTER_TABLE[[#This Row],[actual order]],NA())</f>
        <v>#N/A</v>
      </c>
      <c r="H365" s="4">
        <f>IF(MASTER_TABLE[[#This Row],[EMPLOYMENT]]="UNEMPLOYED", MASTER_TABLE[[#This Row],[actual order]], NA())</f>
        <v>431</v>
      </c>
    </row>
    <row r="366" spans="1:8" x14ac:dyDescent="0.25">
      <c r="A366" s="1">
        <v>41722</v>
      </c>
      <c r="B366">
        <v>10</v>
      </c>
      <c r="C366">
        <v>453</v>
      </c>
      <c r="D366" t="s">
        <v>21</v>
      </c>
      <c r="E366">
        <v>10</v>
      </c>
      <c r="F366" t="s">
        <v>3</v>
      </c>
      <c r="G366" s="4" t="e">
        <f>IF(MASTER_TABLE[[#This Row],[EMPLOYMENT]]="EMPLOYED", MASTER_TABLE[[#This Row],[actual order]],NA())</f>
        <v>#N/A</v>
      </c>
      <c r="H366" s="4">
        <f>IF(MASTER_TABLE[[#This Row],[EMPLOYMENT]]="UNEMPLOYED", MASTER_TABLE[[#This Row],[actual order]], NA())</f>
        <v>453</v>
      </c>
    </row>
    <row r="367" spans="1:8" x14ac:dyDescent="0.25">
      <c r="A367" s="1">
        <v>41765</v>
      </c>
      <c r="B367">
        <v>10</v>
      </c>
      <c r="C367">
        <v>451</v>
      </c>
      <c r="D367" t="s">
        <v>21</v>
      </c>
      <c r="E367">
        <v>10</v>
      </c>
      <c r="F367" t="s">
        <v>3</v>
      </c>
      <c r="G367" s="4" t="e">
        <f>IF(MASTER_TABLE[[#This Row],[EMPLOYMENT]]="EMPLOYED", MASTER_TABLE[[#This Row],[actual order]],NA())</f>
        <v>#N/A</v>
      </c>
      <c r="H367" s="4">
        <f>IF(MASTER_TABLE[[#This Row],[EMPLOYMENT]]="UNEMPLOYED", MASTER_TABLE[[#This Row],[actual order]], NA())</f>
        <v>451</v>
      </c>
    </row>
    <row r="368" spans="1:8" x14ac:dyDescent="0.25">
      <c r="A368" s="1">
        <v>41776</v>
      </c>
      <c r="B368">
        <v>10</v>
      </c>
      <c r="C368">
        <v>414</v>
      </c>
      <c r="D368" t="s">
        <v>21</v>
      </c>
      <c r="E368">
        <v>10</v>
      </c>
      <c r="F368" t="s">
        <v>3</v>
      </c>
      <c r="G368" s="4" t="e">
        <f>IF(MASTER_TABLE[[#This Row],[EMPLOYMENT]]="EMPLOYED", MASTER_TABLE[[#This Row],[actual order]],NA())</f>
        <v>#N/A</v>
      </c>
      <c r="H368" s="4">
        <f>IF(MASTER_TABLE[[#This Row],[EMPLOYMENT]]="UNEMPLOYED", MASTER_TABLE[[#This Row],[actual order]], NA())</f>
        <v>414</v>
      </c>
    </row>
    <row r="369" spans="1:8" x14ac:dyDescent="0.25">
      <c r="A369" s="1">
        <v>41791</v>
      </c>
      <c r="B369">
        <v>10</v>
      </c>
      <c r="C369">
        <v>416</v>
      </c>
      <c r="D369" t="s">
        <v>21</v>
      </c>
      <c r="E369">
        <v>10</v>
      </c>
      <c r="F369" t="s">
        <v>3</v>
      </c>
      <c r="G369" s="4" t="e">
        <f>IF(MASTER_TABLE[[#This Row],[EMPLOYMENT]]="EMPLOYED", MASTER_TABLE[[#This Row],[actual order]],NA())</f>
        <v>#N/A</v>
      </c>
      <c r="H369" s="4">
        <f>IF(MASTER_TABLE[[#This Row],[EMPLOYMENT]]="UNEMPLOYED", MASTER_TABLE[[#This Row],[actual order]], NA())</f>
        <v>416</v>
      </c>
    </row>
    <row r="370" spans="1:8" x14ac:dyDescent="0.25">
      <c r="A370" s="1">
        <v>41794</v>
      </c>
      <c r="B370">
        <v>10</v>
      </c>
      <c r="C370">
        <v>401</v>
      </c>
      <c r="D370" t="s">
        <v>21</v>
      </c>
      <c r="E370">
        <v>10</v>
      </c>
      <c r="F370" t="s">
        <v>3</v>
      </c>
      <c r="G370" s="4" t="e">
        <f>IF(MASTER_TABLE[[#This Row],[EMPLOYMENT]]="EMPLOYED", MASTER_TABLE[[#This Row],[actual order]],NA())</f>
        <v>#N/A</v>
      </c>
      <c r="H370" s="4">
        <f>IF(MASTER_TABLE[[#This Row],[EMPLOYMENT]]="UNEMPLOYED", MASTER_TABLE[[#This Row],[actual order]], NA())</f>
        <v>401</v>
      </c>
    </row>
    <row r="371" spans="1:8" x14ac:dyDescent="0.25">
      <c r="A371" s="1">
        <v>41640</v>
      </c>
      <c r="B371">
        <v>11</v>
      </c>
      <c r="C371">
        <v>318</v>
      </c>
      <c r="D371" t="s">
        <v>20</v>
      </c>
      <c r="E371">
        <v>6</v>
      </c>
      <c r="F371" t="s">
        <v>2</v>
      </c>
      <c r="G371" s="4">
        <f>IF(MASTER_TABLE[[#This Row],[EMPLOYMENT]]="EMPLOYED", MASTER_TABLE[[#This Row],[actual order]],NA())</f>
        <v>318</v>
      </c>
      <c r="H371" s="4" t="e">
        <f>IF(MASTER_TABLE[[#This Row],[EMPLOYMENT]]="UNEMPLOYED", MASTER_TABLE[[#This Row],[actual order]], NA())</f>
        <v>#N/A</v>
      </c>
    </row>
    <row r="372" spans="1:8" x14ac:dyDescent="0.25">
      <c r="A372" s="1">
        <v>41643</v>
      </c>
      <c r="B372">
        <v>11</v>
      </c>
      <c r="C372">
        <v>340</v>
      </c>
      <c r="D372" t="s">
        <v>20</v>
      </c>
      <c r="E372">
        <v>6</v>
      </c>
      <c r="F372" t="s">
        <v>2</v>
      </c>
      <c r="G372" s="4">
        <f>IF(MASTER_TABLE[[#This Row],[EMPLOYMENT]]="EMPLOYED", MASTER_TABLE[[#This Row],[actual order]],NA())</f>
        <v>340</v>
      </c>
      <c r="H372" s="4" t="e">
        <f>IF(MASTER_TABLE[[#This Row],[EMPLOYMENT]]="UNEMPLOYED", MASTER_TABLE[[#This Row],[actual order]], NA())</f>
        <v>#N/A</v>
      </c>
    </row>
    <row r="373" spans="1:8" x14ac:dyDescent="0.25">
      <c r="A373" s="1">
        <v>41658</v>
      </c>
      <c r="B373">
        <v>11</v>
      </c>
      <c r="C373">
        <v>298</v>
      </c>
      <c r="D373" t="s">
        <v>20</v>
      </c>
      <c r="E373">
        <v>6</v>
      </c>
      <c r="F373" t="s">
        <v>2</v>
      </c>
      <c r="G373" s="4">
        <f>IF(MASTER_TABLE[[#This Row],[EMPLOYMENT]]="EMPLOYED", MASTER_TABLE[[#This Row],[actual order]],NA())</f>
        <v>298</v>
      </c>
      <c r="H373" s="4" t="e">
        <f>IF(MASTER_TABLE[[#This Row],[EMPLOYMENT]]="UNEMPLOYED", MASTER_TABLE[[#This Row],[actual order]], NA())</f>
        <v>#N/A</v>
      </c>
    </row>
    <row r="374" spans="1:8" x14ac:dyDescent="0.25">
      <c r="A374" s="1">
        <v>41659</v>
      </c>
      <c r="B374">
        <v>11</v>
      </c>
      <c r="C374">
        <v>309</v>
      </c>
      <c r="D374" t="s">
        <v>20</v>
      </c>
      <c r="E374">
        <v>6</v>
      </c>
      <c r="F374" t="s">
        <v>2</v>
      </c>
      <c r="G374" s="4">
        <f>IF(MASTER_TABLE[[#This Row],[EMPLOYMENT]]="EMPLOYED", MASTER_TABLE[[#This Row],[actual order]],NA())</f>
        <v>309</v>
      </c>
      <c r="H374" s="4" t="e">
        <f>IF(MASTER_TABLE[[#This Row],[EMPLOYMENT]]="UNEMPLOYED", MASTER_TABLE[[#This Row],[actual order]], NA())</f>
        <v>#N/A</v>
      </c>
    </row>
    <row r="375" spans="1:8" x14ac:dyDescent="0.25">
      <c r="A375" s="1">
        <v>41685</v>
      </c>
      <c r="B375">
        <v>11</v>
      </c>
      <c r="C375">
        <v>321</v>
      </c>
      <c r="D375" t="s">
        <v>20</v>
      </c>
      <c r="E375">
        <v>6</v>
      </c>
      <c r="F375" t="s">
        <v>2</v>
      </c>
      <c r="G375" s="4">
        <f>IF(MASTER_TABLE[[#This Row],[EMPLOYMENT]]="EMPLOYED", MASTER_TABLE[[#This Row],[actual order]],NA())</f>
        <v>321</v>
      </c>
      <c r="H375" s="4" t="e">
        <f>IF(MASTER_TABLE[[#This Row],[EMPLOYMENT]]="UNEMPLOYED", MASTER_TABLE[[#This Row],[actual order]], NA())</f>
        <v>#N/A</v>
      </c>
    </row>
    <row r="376" spans="1:8" x14ac:dyDescent="0.25">
      <c r="A376" s="1">
        <v>41690</v>
      </c>
      <c r="B376">
        <v>11</v>
      </c>
      <c r="C376">
        <v>325</v>
      </c>
      <c r="D376" t="s">
        <v>20</v>
      </c>
      <c r="E376">
        <v>6</v>
      </c>
      <c r="F376" t="s">
        <v>2</v>
      </c>
      <c r="G376" s="4">
        <f>IF(MASTER_TABLE[[#This Row],[EMPLOYMENT]]="EMPLOYED", MASTER_TABLE[[#This Row],[actual order]],NA())</f>
        <v>325</v>
      </c>
      <c r="H376" s="4" t="e">
        <f>IF(MASTER_TABLE[[#This Row],[EMPLOYMENT]]="UNEMPLOYED", MASTER_TABLE[[#This Row],[actual order]], NA())</f>
        <v>#N/A</v>
      </c>
    </row>
    <row r="377" spans="1:8" x14ac:dyDescent="0.25">
      <c r="A377" s="1">
        <v>41702</v>
      </c>
      <c r="B377">
        <v>11</v>
      </c>
      <c r="C377">
        <v>275</v>
      </c>
      <c r="D377" t="s">
        <v>20</v>
      </c>
      <c r="E377">
        <v>6</v>
      </c>
      <c r="F377" t="s">
        <v>2</v>
      </c>
      <c r="G377" s="4">
        <f>IF(MASTER_TABLE[[#This Row],[EMPLOYMENT]]="EMPLOYED", MASTER_TABLE[[#This Row],[actual order]],NA())</f>
        <v>275</v>
      </c>
      <c r="H377" s="4" t="e">
        <f>IF(MASTER_TABLE[[#This Row],[EMPLOYMENT]]="UNEMPLOYED", MASTER_TABLE[[#This Row],[actual order]], NA())</f>
        <v>#N/A</v>
      </c>
    </row>
    <row r="378" spans="1:8" x14ac:dyDescent="0.25">
      <c r="A378" s="1">
        <v>41709</v>
      </c>
      <c r="B378">
        <v>11</v>
      </c>
      <c r="C378">
        <v>283</v>
      </c>
      <c r="D378" t="s">
        <v>20</v>
      </c>
      <c r="E378">
        <v>6</v>
      </c>
      <c r="F378" t="s">
        <v>2</v>
      </c>
      <c r="G378" s="4">
        <f>IF(MASTER_TABLE[[#This Row],[EMPLOYMENT]]="EMPLOYED", MASTER_TABLE[[#This Row],[actual order]],NA())</f>
        <v>283</v>
      </c>
      <c r="H378" s="4" t="e">
        <f>IF(MASTER_TABLE[[#This Row],[EMPLOYMENT]]="UNEMPLOYED", MASTER_TABLE[[#This Row],[actual order]], NA())</f>
        <v>#N/A</v>
      </c>
    </row>
    <row r="379" spans="1:8" x14ac:dyDescent="0.25">
      <c r="A379" s="1">
        <v>41714</v>
      </c>
      <c r="B379">
        <v>11</v>
      </c>
      <c r="C379">
        <v>335</v>
      </c>
      <c r="D379" t="s">
        <v>20</v>
      </c>
      <c r="E379">
        <v>6</v>
      </c>
      <c r="F379" t="s">
        <v>2</v>
      </c>
      <c r="G379" s="4">
        <f>IF(MASTER_TABLE[[#This Row],[EMPLOYMENT]]="EMPLOYED", MASTER_TABLE[[#This Row],[actual order]],NA())</f>
        <v>335</v>
      </c>
      <c r="H379" s="4" t="e">
        <f>IF(MASTER_TABLE[[#This Row],[EMPLOYMENT]]="UNEMPLOYED", MASTER_TABLE[[#This Row],[actual order]], NA())</f>
        <v>#N/A</v>
      </c>
    </row>
    <row r="380" spans="1:8" x14ac:dyDescent="0.25">
      <c r="A380" s="1">
        <v>41724</v>
      </c>
      <c r="B380">
        <v>11</v>
      </c>
      <c r="C380">
        <v>284</v>
      </c>
      <c r="D380" t="s">
        <v>20</v>
      </c>
      <c r="E380">
        <v>6</v>
      </c>
      <c r="F380" t="s">
        <v>2</v>
      </c>
      <c r="G380" s="4">
        <f>IF(MASTER_TABLE[[#This Row],[EMPLOYMENT]]="EMPLOYED", MASTER_TABLE[[#This Row],[actual order]],NA())</f>
        <v>284</v>
      </c>
      <c r="H380" s="4" t="e">
        <f>IF(MASTER_TABLE[[#This Row],[EMPLOYMENT]]="UNEMPLOYED", MASTER_TABLE[[#This Row],[actual order]], NA())</f>
        <v>#N/A</v>
      </c>
    </row>
    <row r="381" spans="1:8" x14ac:dyDescent="0.25">
      <c r="A381" s="1">
        <v>41731</v>
      </c>
      <c r="B381">
        <v>11</v>
      </c>
      <c r="C381">
        <v>314</v>
      </c>
      <c r="D381" t="s">
        <v>20</v>
      </c>
      <c r="E381">
        <v>6</v>
      </c>
      <c r="F381" t="s">
        <v>2</v>
      </c>
      <c r="G381" s="4">
        <f>IF(MASTER_TABLE[[#This Row],[EMPLOYMENT]]="EMPLOYED", MASTER_TABLE[[#This Row],[actual order]],NA())</f>
        <v>314</v>
      </c>
      <c r="H381" s="4" t="e">
        <f>IF(MASTER_TABLE[[#This Row],[EMPLOYMENT]]="UNEMPLOYED", MASTER_TABLE[[#This Row],[actual order]], NA())</f>
        <v>#N/A</v>
      </c>
    </row>
    <row r="382" spans="1:8" x14ac:dyDescent="0.25">
      <c r="A382" s="1">
        <v>41754</v>
      </c>
      <c r="B382">
        <v>11</v>
      </c>
      <c r="C382">
        <v>341</v>
      </c>
      <c r="D382" t="s">
        <v>20</v>
      </c>
      <c r="E382">
        <v>6</v>
      </c>
      <c r="F382" t="s">
        <v>2</v>
      </c>
      <c r="G382" s="4">
        <f>IF(MASTER_TABLE[[#This Row],[EMPLOYMENT]]="EMPLOYED", MASTER_TABLE[[#This Row],[actual order]],NA())</f>
        <v>341</v>
      </c>
      <c r="H382" s="4" t="e">
        <f>IF(MASTER_TABLE[[#This Row],[EMPLOYMENT]]="UNEMPLOYED", MASTER_TABLE[[#This Row],[actual order]], NA())</f>
        <v>#N/A</v>
      </c>
    </row>
    <row r="383" spans="1:8" x14ac:dyDescent="0.25">
      <c r="A383" s="1">
        <v>41759</v>
      </c>
      <c r="B383">
        <v>11</v>
      </c>
      <c r="C383">
        <v>276</v>
      </c>
      <c r="D383" t="s">
        <v>20</v>
      </c>
      <c r="E383">
        <v>6</v>
      </c>
      <c r="F383" t="s">
        <v>2</v>
      </c>
      <c r="G383" s="4">
        <f>IF(MASTER_TABLE[[#This Row],[EMPLOYMENT]]="EMPLOYED", MASTER_TABLE[[#This Row],[actual order]],NA())</f>
        <v>276</v>
      </c>
      <c r="H383" s="4" t="e">
        <f>IF(MASTER_TABLE[[#This Row],[EMPLOYMENT]]="UNEMPLOYED", MASTER_TABLE[[#This Row],[actual order]], NA())</f>
        <v>#N/A</v>
      </c>
    </row>
    <row r="384" spans="1:8" x14ac:dyDescent="0.25">
      <c r="A384" s="1">
        <v>41775</v>
      </c>
      <c r="B384">
        <v>11</v>
      </c>
      <c r="C384">
        <v>310</v>
      </c>
      <c r="D384" t="s">
        <v>20</v>
      </c>
      <c r="E384">
        <v>6</v>
      </c>
      <c r="F384" t="s">
        <v>2</v>
      </c>
      <c r="G384" s="4">
        <f>IF(MASTER_TABLE[[#This Row],[EMPLOYMENT]]="EMPLOYED", MASTER_TABLE[[#This Row],[actual order]],NA())</f>
        <v>310</v>
      </c>
      <c r="H384" s="4" t="e">
        <f>IF(MASTER_TABLE[[#This Row],[EMPLOYMENT]]="UNEMPLOYED", MASTER_TABLE[[#This Row],[actual order]], NA())</f>
        <v>#N/A</v>
      </c>
    </row>
    <row r="385" spans="1:8" x14ac:dyDescent="0.25">
      <c r="A385" s="1">
        <v>41776</v>
      </c>
      <c r="B385">
        <v>11</v>
      </c>
      <c r="C385">
        <v>315</v>
      </c>
      <c r="D385" t="s">
        <v>20</v>
      </c>
      <c r="E385">
        <v>6</v>
      </c>
      <c r="F385" t="s">
        <v>2</v>
      </c>
      <c r="G385" s="4">
        <f>IF(MASTER_TABLE[[#This Row],[EMPLOYMENT]]="EMPLOYED", MASTER_TABLE[[#This Row],[actual order]],NA())</f>
        <v>315</v>
      </c>
      <c r="H385" s="4" t="e">
        <f>IF(MASTER_TABLE[[#This Row],[EMPLOYMENT]]="UNEMPLOYED", MASTER_TABLE[[#This Row],[actual order]], NA())</f>
        <v>#N/A</v>
      </c>
    </row>
    <row r="386" spans="1:8" x14ac:dyDescent="0.25">
      <c r="A386" s="1">
        <v>41791</v>
      </c>
      <c r="B386">
        <v>11</v>
      </c>
      <c r="C386">
        <v>315</v>
      </c>
      <c r="D386" t="s">
        <v>20</v>
      </c>
      <c r="E386">
        <v>6</v>
      </c>
      <c r="F386" t="s">
        <v>2</v>
      </c>
      <c r="G386" s="4">
        <f>IF(MASTER_TABLE[[#This Row],[EMPLOYMENT]]="EMPLOYED", MASTER_TABLE[[#This Row],[actual order]],NA())</f>
        <v>315</v>
      </c>
      <c r="H386" s="4" t="e">
        <f>IF(MASTER_TABLE[[#This Row],[EMPLOYMENT]]="UNEMPLOYED", MASTER_TABLE[[#This Row],[actual order]], NA())</f>
        <v>#N/A</v>
      </c>
    </row>
    <row r="387" spans="1:8" x14ac:dyDescent="0.25">
      <c r="A387" s="1">
        <v>41799</v>
      </c>
      <c r="B387">
        <v>11</v>
      </c>
      <c r="C387">
        <v>285</v>
      </c>
      <c r="D387" t="s">
        <v>20</v>
      </c>
      <c r="E387">
        <v>6</v>
      </c>
      <c r="F387" t="s">
        <v>2</v>
      </c>
      <c r="G387" s="4">
        <f>IF(MASTER_TABLE[[#This Row],[EMPLOYMENT]]="EMPLOYED", MASTER_TABLE[[#This Row],[actual order]],NA())</f>
        <v>285</v>
      </c>
      <c r="H387" s="4" t="e">
        <f>IF(MASTER_TABLE[[#This Row],[EMPLOYMENT]]="UNEMPLOYED", MASTER_TABLE[[#This Row],[actual order]], NA())</f>
        <v>#N/A</v>
      </c>
    </row>
    <row r="388" spans="1:8" x14ac:dyDescent="0.25">
      <c r="A388" s="1">
        <v>41809</v>
      </c>
      <c r="B388">
        <v>11</v>
      </c>
      <c r="C388">
        <v>332</v>
      </c>
      <c r="D388" t="s">
        <v>20</v>
      </c>
      <c r="E388">
        <v>6</v>
      </c>
      <c r="F388" t="s">
        <v>2</v>
      </c>
      <c r="G388" s="4">
        <f>IF(MASTER_TABLE[[#This Row],[EMPLOYMENT]]="EMPLOYED", MASTER_TABLE[[#This Row],[actual order]],NA())</f>
        <v>332</v>
      </c>
      <c r="H388" s="4" t="e">
        <f>IF(MASTER_TABLE[[#This Row],[EMPLOYMENT]]="UNEMPLOYED", MASTER_TABLE[[#This Row],[actual order]], NA())</f>
        <v>#N/A</v>
      </c>
    </row>
    <row r="389" spans="1:8" x14ac:dyDescent="0.25">
      <c r="A389" s="1">
        <v>41618</v>
      </c>
      <c r="B389">
        <v>12</v>
      </c>
      <c r="C389">
        <v>197</v>
      </c>
      <c r="D389" t="s">
        <v>20</v>
      </c>
      <c r="E389">
        <v>8</v>
      </c>
      <c r="F389" t="s">
        <v>3</v>
      </c>
      <c r="G389" s="4">
        <f>IF(MASTER_TABLE[[#This Row],[EMPLOYMENT]]="EMPLOYED", MASTER_TABLE[[#This Row],[actual order]],NA())</f>
        <v>197</v>
      </c>
      <c r="H389" s="4" t="e">
        <f>IF(MASTER_TABLE[[#This Row],[EMPLOYMENT]]="UNEMPLOYED", MASTER_TABLE[[#This Row],[actual order]], NA())</f>
        <v>#N/A</v>
      </c>
    </row>
    <row r="390" spans="1:8" x14ac:dyDescent="0.25">
      <c r="A390" s="1">
        <v>41633</v>
      </c>
      <c r="B390">
        <v>12</v>
      </c>
      <c r="C390">
        <v>209</v>
      </c>
      <c r="D390" t="s">
        <v>20</v>
      </c>
      <c r="E390">
        <v>8</v>
      </c>
      <c r="F390" t="s">
        <v>3</v>
      </c>
      <c r="G390" s="4">
        <f>IF(MASTER_TABLE[[#This Row],[EMPLOYMENT]]="EMPLOYED", MASTER_TABLE[[#This Row],[actual order]],NA())</f>
        <v>209</v>
      </c>
      <c r="H390" s="4" t="e">
        <f>IF(MASTER_TABLE[[#This Row],[EMPLOYMENT]]="UNEMPLOYED", MASTER_TABLE[[#This Row],[actual order]], NA())</f>
        <v>#N/A</v>
      </c>
    </row>
    <row r="391" spans="1:8" x14ac:dyDescent="0.25">
      <c r="A391" s="1">
        <v>41633</v>
      </c>
      <c r="B391">
        <v>12</v>
      </c>
      <c r="C391">
        <v>216</v>
      </c>
      <c r="D391" t="s">
        <v>20</v>
      </c>
      <c r="E391">
        <v>8</v>
      </c>
      <c r="F391" t="s">
        <v>3</v>
      </c>
      <c r="G391" s="4">
        <f>IF(MASTER_TABLE[[#This Row],[EMPLOYMENT]]="EMPLOYED", MASTER_TABLE[[#This Row],[actual order]],NA())</f>
        <v>216</v>
      </c>
      <c r="H391" s="4" t="e">
        <f>IF(MASTER_TABLE[[#This Row],[EMPLOYMENT]]="UNEMPLOYED", MASTER_TABLE[[#This Row],[actual order]], NA())</f>
        <v>#N/A</v>
      </c>
    </row>
    <row r="392" spans="1:8" x14ac:dyDescent="0.25">
      <c r="A392" s="1">
        <v>41638</v>
      </c>
      <c r="B392">
        <v>12</v>
      </c>
      <c r="C392">
        <v>228</v>
      </c>
      <c r="D392" t="s">
        <v>20</v>
      </c>
      <c r="E392">
        <v>8</v>
      </c>
      <c r="F392" t="s">
        <v>3</v>
      </c>
      <c r="G392" s="4">
        <f>IF(MASTER_TABLE[[#This Row],[EMPLOYMENT]]="EMPLOYED", MASTER_TABLE[[#This Row],[actual order]],NA())</f>
        <v>228</v>
      </c>
      <c r="H392" s="4" t="e">
        <f>IF(MASTER_TABLE[[#This Row],[EMPLOYMENT]]="UNEMPLOYED", MASTER_TABLE[[#This Row],[actual order]], NA())</f>
        <v>#N/A</v>
      </c>
    </row>
    <row r="393" spans="1:8" x14ac:dyDescent="0.25">
      <c r="A393" s="1">
        <v>41646</v>
      </c>
      <c r="B393">
        <v>12</v>
      </c>
      <c r="C393">
        <v>187</v>
      </c>
      <c r="D393" t="s">
        <v>20</v>
      </c>
      <c r="E393">
        <v>8</v>
      </c>
      <c r="F393" t="s">
        <v>3</v>
      </c>
      <c r="G393" s="4">
        <f>IF(MASTER_TABLE[[#This Row],[EMPLOYMENT]]="EMPLOYED", MASTER_TABLE[[#This Row],[actual order]],NA())</f>
        <v>187</v>
      </c>
      <c r="H393" s="4" t="e">
        <f>IF(MASTER_TABLE[[#This Row],[EMPLOYMENT]]="UNEMPLOYED", MASTER_TABLE[[#This Row],[actual order]], NA())</f>
        <v>#N/A</v>
      </c>
    </row>
    <row r="394" spans="1:8" x14ac:dyDescent="0.25">
      <c r="A394" s="1">
        <v>41647</v>
      </c>
      <c r="B394">
        <v>12</v>
      </c>
      <c r="C394">
        <v>231</v>
      </c>
      <c r="D394" t="s">
        <v>20</v>
      </c>
      <c r="E394">
        <v>8</v>
      </c>
      <c r="F394" t="s">
        <v>3</v>
      </c>
      <c r="G394" s="4">
        <f>IF(MASTER_TABLE[[#This Row],[EMPLOYMENT]]="EMPLOYED", MASTER_TABLE[[#This Row],[actual order]],NA())</f>
        <v>231</v>
      </c>
      <c r="H394" s="4" t="e">
        <f>IF(MASTER_TABLE[[#This Row],[EMPLOYMENT]]="UNEMPLOYED", MASTER_TABLE[[#This Row],[actual order]], NA())</f>
        <v>#N/A</v>
      </c>
    </row>
    <row r="395" spans="1:8" x14ac:dyDescent="0.25">
      <c r="A395" s="1">
        <v>41660</v>
      </c>
      <c r="B395">
        <v>12</v>
      </c>
      <c r="C395">
        <v>194</v>
      </c>
      <c r="D395" t="s">
        <v>20</v>
      </c>
      <c r="E395">
        <v>8</v>
      </c>
      <c r="F395" t="s">
        <v>3</v>
      </c>
      <c r="G395" s="4">
        <f>IF(MASTER_TABLE[[#This Row],[EMPLOYMENT]]="EMPLOYED", MASTER_TABLE[[#This Row],[actual order]],NA())</f>
        <v>194</v>
      </c>
      <c r="H395" s="4" t="e">
        <f>IF(MASTER_TABLE[[#This Row],[EMPLOYMENT]]="UNEMPLOYED", MASTER_TABLE[[#This Row],[actual order]], NA())</f>
        <v>#N/A</v>
      </c>
    </row>
    <row r="396" spans="1:8" x14ac:dyDescent="0.25">
      <c r="A396" s="1">
        <v>41662</v>
      </c>
      <c r="B396">
        <v>12</v>
      </c>
      <c r="C396">
        <v>207</v>
      </c>
      <c r="D396" t="s">
        <v>20</v>
      </c>
      <c r="E396">
        <v>8</v>
      </c>
      <c r="F396" t="s">
        <v>3</v>
      </c>
      <c r="G396" s="4">
        <f>IF(MASTER_TABLE[[#This Row],[EMPLOYMENT]]="EMPLOYED", MASTER_TABLE[[#This Row],[actual order]],NA())</f>
        <v>207</v>
      </c>
      <c r="H396" s="4" t="e">
        <f>IF(MASTER_TABLE[[#This Row],[EMPLOYMENT]]="UNEMPLOYED", MASTER_TABLE[[#This Row],[actual order]], NA())</f>
        <v>#N/A</v>
      </c>
    </row>
    <row r="397" spans="1:8" x14ac:dyDescent="0.25">
      <c r="A397" s="1">
        <v>41670</v>
      </c>
      <c r="B397">
        <v>12</v>
      </c>
      <c r="C397">
        <v>220</v>
      </c>
      <c r="D397" t="s">
        <v>20</v>
      </c>
      <c r="E397">
        <v>8</v>
      </c>
      <c r="F397" t="s">
        <v>3</v>
      </c>
      <c r="G397" s="4">
        <f>IF(MASTER_TABLE[[#This Row],[EMPLOYMENT]]="EMPLOYED", MASTER_TABLE[[#This Row],[actual order]],NA())</f>
        <v>220</v>
      </c>
      <c r="H397" s="4" t="e">
        <f>IF(MASTER_TABLE[[#This Row],[EMPLOYMENT]]="UNEMPLOYED", MASTER_TABLE[[#This Row],[actual order]], NA())</f>
        <v>#N/A</v>
      </c>
    </row>
    <row r="398" spans="1:8" x14ac:dyDescent="0.25">
      <c r="A398" s="1">
        <v>41679</v>
      </c>
      <c r="B398">
        <v>12</v>
      </c>
      <c r="C398">
        <v>189</v>
      </c>
      <c r="D398" t="s">
        <v>20</v>
      </c>
      <c r="E398">
        <v>8</v>
      </c>
      <c r="F398" t="s">
        <v>3</v>
      </c>
      <c r="G398" s="4">
        <f>IF(MASTER_TABLE[[#This Row],[EMPLOYMENT]]="EMPLOYED", MASTER_TABLE[[#This Row],[actual order]],NA())</f>
        <v>189</v>
      </c>
      <c r="H398" s="4" t="e">
        <f>IF(MASTER_TABLE[[#This Row],[EMPLOYMENT]]="UNEMPLOYED", MASTER_TABLE[[#This Row],[actual order]], NA())</f>
        <v>#N/A</v>
      </c>
    </row>
    <row r="399" spans="1:8" x14ac:dyDescent="0.25">
      <c r="A399" s="1">
        <v>41681</v>
      </c>
      <c r="B399">
        <v>12</v>
      </c>
      <c r="C399">
        <v>208</v>
      </c>
      <c r="D399" t="s">
        <v>20</v>
      </c>
      <c r="E399">
        <v>8</v>
      </c>
      <c r="F399" t="s">
        <v>3</v>
      </c>
      <c r="G399" s="4">
        <f>IF(MASTER_TABLE[[#This Row],[EMPLOYMENT]]="EMPLOYED", MASTER_TABLE[[#This Row],[actual order]],NA())</f>
        <v>208</v>
      </c>
      <c r="H399" s="4" t="e">
        <f>IF(MASTER_TABLE[[#This Row],[EMPLOYMENT]]="UNEMPLOYED", MASTER_TABLE[[#This Row],[actual order]], NA())</f>
        <v>#N/A</v>
      </c>
    </row>
    <row r="400" spans="1:8" x14ac:dyDescent="0.25">
      <c r="A400" s="1">
        <v>41685</v>
      </c>
      <c r="B400">
        <v>12</v>
      </c>
      <c r="C400">
        <v>205</v>
      </c>
      <c r="D400" t="s">
        <v>20</v>
      </c>
      <c r="E400">
        <v>8</v>
      </c>
      <c r="F400" t="s">
        <v>3</v>
      </c>
      <c r="G400" s="4">
        <f>IF(MASTER_TABLE[[#This Row],[EMPLOYMENT]]="EMPLOYED", MASTER_TABLE[[#This Row],[actual order]],NA())</f>
        <v>205</v>
      </c>
      <c r="H400" s="4" t="e">
        <f>IF(MASTER_TABLE[[#This Row],[EMPLOYMENT]]="UNEMPLOYED", MASTER_TABLE[[#This Row],[actual order]], NA())</f>
        <v>#N/A</v>
      </c>
    </row>
    <row r="401" spans="1:8" x14ac:dyDescent="0.25">
      <c r="A401" s="1">
        <v>41686</v>
      </c>
      <c r="B401">
        <v>12</v>
      </c>
      <c r="C401">
        <v>224</v>
      </c>
      <c r="D401" t="s">
        <v>20</v>
      </c>
      <c r="E401">
        <v>8</v>
      </c>
      <c r="F401" t="s">
        <v>3</v>
      </c>
      <c r="G401" s="4">
        <f>IF(MASTER_TABLE[[#This Row],[EMPLOYMENT]]="EMPLOYED", MASTER_TABLE[[#This Row],[actual order]],NA())</f>
        <v>224</v>
      </c>
      <c r="H401" s="4" t="e">
        <f>IF(MASTER_TABLE[[#This Row],[EMPLOYMENT]]="UNEMPLOYED", MASTER_TABLE[[#This Row],[actual order]], NA())</f>
        <v>#N/A</v>
      </c>
    </row>
    <row r="402" spans="1:8" x14ac:dyDescent="0.25">
      <c r="A402" s="1">
        <v>41696</v>
      </c>
      <c r="B402">
        <v>12</v>
      </c>
      <c r="C402">
        <v>192</v>
      </c>
      <c r="D402" t="s">
        <v>20</v>
      </c>
      <c r="E402">
        <v>8</v>
      </c>
      <c r="F402" t="s">
        <v>3</v>
      </c>
      <c r="G402" s="4">
        <f>IF(MASTER_TABLE[[#This Row],[EMPLOYMENT]]="EMPLOYED", MASTER_TABLE[[#This Row],[actual order]],NA())</f>
        <v>192</v>
      </c>
      <c r="H402" s="4" t="e">
        <f>IF(MASTER_TABLE[[#This Row],[EMPLOYMENT]]="UNEMPLOYED", MASTER_TABLE[[#This Row],[actual order]], NA())</f>
        <v>#N/A</v>
      </c>
    </row>
    <row r="403" spans="1:8" x14ac:dyDescent="0.25">
      <c r="A403" s="1">
        <v>41701</v>
      </c>
      <c r="B403">
        <v>12</v>
      </c>
      <c r="C403">
        <v>194</v>
      </c>
      <c r="D403" t="s">
        <v>20</v>
      </c>
      <c r="E403">
        <v>8</v>
      </c>
      <c r="F403" t="s">
        <v>3</v>
      </c>
      <c r="G403" s="4">
        <f>IF(MASTER_TABLE[[#This Row],[EMPLOYMENT]]="EMPLOYED", MASTER_TABLE[[#This Row],[actual order]],NA())</f>
        <v>194</v>
      </c>
      <c r="H403" s="4" t="e">
        <f>IF(MASTER_TABLE[[#This Row],[EMPLOYMENT]]="UNEMPLOYED", MASTER_TABLE[[#This Row],[actual order]], NA())</f>
        <v>#N/A</v>
      </c>
    </row>
    <row r="404" spans="1:8" x14ac:dyDescent="0.25">
      <c r="A404" s="1">
        <v>41705</v>
      </c>
      <c r="B404">
        <v>12</v>
      </c>
      <c r="C404">
        <v>208</v>
      </c>
      <c r="D404" t="s">
        <v>20</v>
      </c>
      <c r="E404">
        <v>8</v>
      </c>
      <c r="F404" t="s">
        <v>3</v>
      </c>
      <c r="G404" s="4">
        <f>IF(MASTER_TABLE[[#This Row],[EMPLOYMENT]]="EMPLOYED", MASTER_TABLE[[#This Row],[actual order]],NA())</f>
        <v>208</v>
      </c>
      <c r="H404" s="4" t="e">
        <f>IF(MASTER_TABLE[[#This Row],[EMPLOYMENT]]="UNEMPLOYED", MASTER_TABLE[[#This Row],[actual order]], NA())</f>
        <v>#N/A</v>
      </c>
    </row>
    <row r="405" spans="1:8" x14ac:dyDescent="0.25">
      <c r="A405" s="1">
        <v>41729</v>
      </c>
      <c r="B405">
        <v>12</v>
      </c>
      <c r="C405">
        <v>187</v>
      </c>
      <c r="D405" t="s">
        <v>20</v>
      </c>
      <c r="E405">
        <v>8</v>
      </c>
      <c r="F405" t="s">
        <v>3</v>
      </c>
      <c r="G405" s="4">
        <f>IF(MASTER_TABLE[[#This Row],[EMPLOYMENT]]="EMPLOYED", MASTER_TABLE[[#This Row],[actual order]],NA())</f>
        <v>187</v>
      </c>
      <c r="H405" s="4" t="e">
        <f>IF(MASTER_TABLE[[#This Row],[EMPLOYMENT]]="UNEMPLOYED", MASTER_TABLE[[#This Row],[actual order]], NA())</f>
        <v>#N/A</v>
      </c>
    </row>
    <row r="406" spans="1:8" x14ac:dyDescent="0.25">
      <c r="A406" s="1">
        <v>41749</v>
      </c>
      <c r="B406">
        <v>12</v>
      </c>
      <c r="C406">
        <v>224</v>
      </c>
      <c r="D406" t="s">
        <v>20</v>
      </c>
      <c r="E406">
        <v>8</v>
      </c>
      <c r="F406" t="s">
        <v>3</v>
      </c>
      <c r="G406" s="4">
        <f>IF(MASTER_TABLE[[#This Row],[EMPLOYMENT]]="EMPLOYED", MASTER_TABLE[[#This Row],[actual order]],NA())</f>
        <v>224</v>
      </c>
      <c r="H406" s="4" t="e">
        <f>IF(MASTER_TABLE[[#This Row],[EMPLOYMENT]]="UNEMPLOYED", MASTER_TABLE[[#This Row],[actual order]], NA())</f>
        <v>#N/A</v>
      </c>
    </row>
    <row r="407" spans="1:8" x14ac:dyDescent="0.25">
      <c r="A407" s="1">
        <v>41754</v>
      </c>
      <c r="B407">
        <v>12</v>
      </c>
      <c r="C407">
        <v>192</v>
      </c>
      <c r="D407" t="s">
        <v>20</v>
      </c>
      <c r="E407">
        <v>8</v>
      </c>
      <c r="F407" t="s">
        <v>3</v>
      </c>
      <c r="G407" s="4">
        <f>IF(MASTER_TABLE[[#This Row],[EMPLOYMENT]]="EMPLOYED", MASTER_TABLE[[#This Row],[actual order]],NA())</f>
        <v>192</v>
      </c>
      <c r="H407" s="4" t="e">
        <f>IF(MASTER_TABLE[[#This Row],[EMPLOYMENT]]="UNEMPLOYED", MASTER_TABLE[[#This Row],[actual order]], NA())</f>
        <v>#N/A</v>
      </c>
    </row>
    <row r="408" spans="1:8" x14ac:dyDescent="0.25">
      <c r="A408" s="1">
        <v>41765</v>
      </c>
      <c r="B408">
        <v>12</v>
      </c>
      <c r="C408">
        <v>210</v>
      </c>
      <c r="D408" t="s">
        <v>20</v>
      </c>
      <c r="E408">
        <v>8</v>
      </c>
      <c r="F408" t="s">
        <v>3</v>
      </c>
      <c r="G408" s="4">
        <f>IF(MASTER_TABLE[[#This Row],[EMPLOYMENT]]="EMPLOYED", MASTER_TABLE[[#This Row],[actual order]],NA())</f>
        <v>210</v>
      </c>
      <c r="H408" s="4" t="e">
        <f>IF(MASTER_TABLE[[#This Row],[EMPLOYMENT]]="UNEMPLOYED", MASTER_TABLE[[#This Row],[actual order]], NA())</f>
        <v>#N/A</v>
      </c>
    </row>
    <row r="409" spans="1:8" x14ac:dyDescent="0.25">
      <c r="A409" s="1">
        <v>41769</v>
      </c>
      <c r="B409">
        <v>12</v>
      </c>
      <c r="C409">
        <v>211</v>
      </c>
      <c r="D409" t="s">
        <v>20</v>
      </c>
      <c r="E409">
        <v>8</v>
      </c>
      <c r="F409" t="s">
        <v>3</v>
      </c>
      <c r="G409" s="4">
        <f>IF(MASTER_TABLE[[#This Row],[EMPLOYMENT]]="EMPLOYED", MASTER_TABLE[[#This Row],[actual order]],NA())</f>
        <v>211</v>
      </c>
      <c r="H409" s="4" t="e">
        <f>IF(MASTER_TABLE[[#This Row],[EMPLOYMENT]]="UNEMPLOYED", MASTER_TABLE[[#This Row],[actual order]], NA())</f>
        <v>#N/A</v>
      </c>
    </row>
    <row r="410" spans="1:8" x14ac:dyDescent="0.25">
      <c r="A410" s="1">
        <v>41770</v>
      </c>
      <c r="B410">
        <v>12</v>
      </c>
      <c r="C410">
        <v>214</v>
      </c>
      <c r="D410" t="s">
        <v>20</v>
      </c>
      <c r="E410">
        <v>8</v>
      </c>
      <c r="F410" t="s">
        <v>3</v>
      </c>
      <c r="G410" s="4">
        <f>IF(MASTER_TABLE[[#This Row],[EMPLOYMENT]]="EMPLOYED", MASTER_TABLE[[#This Row],[actual order]],NA())</f>
        <v>214</v>
      </c>
      <c r="H410" s="4" t="e">
        <f>IF(MASTER_TABLE[[#This Row],[EMPLOYMENT]]="UNEMPLOYED", MASTER_TABLE[[#This Row],[actual order]], NA())</f>
        <v>#N/A</v>
      </c>
    </row>
    <row r="411" spans="1:8" x14ac:dyDescent="0.25">
      <c r="A411" s="1">
        <v>41775</v>
      </c>
      <c r="B411">
        <v>12</v>
      </c>
      <c r="C411">
        <v>208</v>
      </c>
      <c r="D411" t="s">
        <v>20</v>
      </c>
      <c r="E411">
        <v>8</v>
      </c>
      <c r="F411" t="s">
        <v>3</v>
      </c>
      <c r="G411" s="4">
        <f>IF(MASTER_TABLE[[#This Row],[EMPLOYMENT]]="EMPLOYED", MASTER_TABLE[[#This Row],[actual order]],NA())</f>
        <v>208</v>
      </c>
      <c r="H411" s="4" t="e">
        <f>IF(MASTER_TABLE[[#This Row],[EMPLOYMENT]]="UNEMPLOYED", MASTER_TABLE[[#This Row],[actual order]], NA())</f>
        <v>#N/A</v>
      </c>
    </row>
    <row r="412" spans="1:8" x14ac:dyDescent="0.25">
      <c r="A412" s="1">
        <v>41778</v>
      </c>
      <c r="B412">
        <v>12</v>
      </c>
      <c r="C412">
        <v>201</v>
      </c>
      <c r="D412" t="s">
        <v>20</v>
      </c>
      <c r="E412">
        <v>8</v>
      </c>
      <c r="F412" t="s">
        <v>3</v>
      </c>
      <c r="G412" s="4">
        <f>IF(MASTER_TABLE[[#This Row],[EMPLOYMENT]]="EMPLOYED", MASTER_TABLE[[#This Row],[actual order]],NA())</f>
        <v>201</v>
      </c>
      <c r="H412" s="4" t="e">
        <f>IF(MASTER_TABLE[[#This Row],[EMPLOYMENT]]="UNEMPLOYED", MASTER_TABLE[[#This Row],[actual order]], NA())</f>
        <v>#N/A</v>
      </c>
    </row>
    <row r="413" spans="1:8" x14ac:dyDescent="0.25">
      <c r="A413" s="1">
        <v>41797</v>
      </c>
      <c r="B413">
        <v>12</v>
      </c>
      <c r="C413">
        <v>193</v>
      </c>
      <c r="D413" t="s">
        <v>20</v>
      </c>
      <c r="E413">
        <v>8</v>
      </c>
      <c r="F413" t="s">
        <v>3</v>
      </c>
      <c r="G413" s="4">
        <f>IF(MASTER_TABLE[[#This Row],[EMPLOYMENT]]="EMPLOYED", MASTER_TABLE[[#This Row],[actual order]],NA())</f>
        <v>193</v>
      </c>
      <c r="H413" s="4" t="e">
        <f>IF(MASTER_TABLE[[#This Row],[EMPLOYMENT]]="UNEMPLOYED", MASTER_TABLE[[#This Row],[actual order]], NA())</f>
        <v>#N/A</v>
      </c>
    </row>
    <row r="414" spans="1:8" x14ac:dyDescent="0.25">
      <c r="A414" s="1">
        <v>41797</v>
      </c>
      <c r="B414">
        <v>12</v>
      </c>
      <c r="C414">
        <v>227</v>
      </c>
      <c r="D414" t="s">
        <v>20</v>
      </c>
      <c r="E414">
        <v>8</v>
      </c>
      <c r="F414" t="s">
        <v>3</v>
      </c>
      <c r="G414" s="4">
        <f>IF(MASTER_TABLE[[#This Row],[EMPLOYMENT]]="EMPLOYED", MASTER_TABLE[[#This Row],[actual order]],NA())</f>
        <v>227</v>
      </c>
      <c r="H414" s="4" t="e">
        <f>IF(MASTER_TABLE[[#This Row],[EMPLOYMENT]]="UNEMPLOYED", MASTER_TABLE[[#This Row],[actual order]], NA())</f>
        <v>#N/A</v>
      </c>
    </row>
    <row r="415" spans="1:8" x14ac:dyDescent="0.25">
      <c r="A415" s="1">
        <v>41799</v>
      </c>
      <c r="B415">
        <v>12</v>
      </c>
      <c r="C415">
        <v>223</v>
      </c>
      <c r="D415" t="s">
        <v>20</v>
      </c>
      <c r="E415">
        <v>8</v>
      </c>
      <c r="F415" t="s">
        <v>3</v>
      </c>
      <c r="G415" s="4">
        <f>IF(MASTER_TABLE[[#This Row],[EMPLOYMENT]]="EMPLOYED", MASTER_TABLE[[#This Row],[actual order]],NA())</f>
        <v>223</v>
      </c>
      <c r="H415" s="4" t="e">
        <f>IF(MASTER_TABLE[[#This Row],[EMPLOYMENT]]="UNEMPLOYED", MASTER_TABLE[[#This Row],[actual order]], NA())</f>
        <v>#N/A</v>
      </c>
    </row>
    <row r="416" spans="1:8" x14ac:dyDescent="0.25">
      <c r="A416" s="1">
        <v>41799</v>
      </c>
      <c r="B416">
        <v>12</v>
      </c>
      <c r="C416">
        <v>205</v>
      </c>
      <c r="D416" t="s">
        <v>20</v>
      </c>
      <c r="E416">
        <v>8</v>
      </c>
      <c r="F416" t="s">
        <v>3</v>
      </c>
      <c r="G416" s="4">
        <f>IF(MASTER_TABLE[[#This Row],[EMPLOYMENT]]="EMPLOYED", MASTER_TABLE[[#This Row],[actual order]],NA())</f>
        <v>205</v>
      </c>
      <c r="H416" s="4" t="e">
        <f>IF(MASTER_TABLE[[#This Row],[EMPLOYMENT]]="UNEMPLOYED", MASTER_TABLE[[#This Row],[actual order]], NA())</f>
        <v>#N/A</v>
      </c>
    </row>
    <row r="417" spans="1:8" x14ac:dyDescent="0.25">
      <c r="A417" s="1">
        <v>41808</v>
      </c>
      <c r="B417">
        <v>12</v>
      </c>
      <c r="C417">
        <v>216</v>
      </c>
      <c r="D417" t="s">
        <v>20</v>
      </c>
      <c r="E417">
        <v>8</v>
      </c>
      <c r="F417" t="s">
        <v>3</v>
      </c>
      <c r="G417" s="4">
        <f>IF(MASTER_TABLE[[#This Row],[EMPLOYMENT]]="EMPLOYED", MASTER_TABLE[[#This Row],[actual order]],NA())</f>
        <v>216</v>
      </c>
      <c r="H417" s="4" t="e">
        <f>IF(MASTER_TABLE[[#This Row],[EMPLOYMENT]]="UNEMPLOYED", MASTER_TABLE[[#This Row],[actual order]], NA())</f>
        <v>#N/A</v>
      </c>
    </row>
    <row r="418" spans="1:8" x14ac:dyDescent="0.25">
      <c r="A418" s="1">
        <v>41814</v>
      </c>
      <c r="B418">
        <v>12</v>
      </c>
      <c r="C418">
        <v>199</v>
      </c>
      <c r="D418" t="s">
        <v>20</v>
      </c>
      <c r="E418">
        <v>8</v>
      </c>
      <c r="F418" t="s">
        <v>3</v>
      </c>
      <c r="G418" s="4">
        <f>IF(MASTER_TABLE[[#This Row],[EMPLOYMENT]]="EMPLOYED", MASTER_TABLE[[#This Row],[actual order]],NA())</f>
        <v>199</v>
      </c>
      <c r="H418" s="4" t="e">
        <f>IF(MASTER_TABLE[[#This Row],[EMPLOYMENT]]="UNEMPLOYED", MASTER_TABLE[[#This Row],[actual order]], NA())</f>
        <v>#N/A</v>
      </c>
    </row>
    <row r="419" spans="1:8" x14ac:dyDescent="0.25">
      <c r="A419" s="1">
        <v>41620</v>
      </c>
      <c r="B419">
        <v>13</v>
      </c>
      <c r="C419">
        <v>356</v>
      </c>
      <c r="D419" t="s">
        <v>21</v>
      </c>
      <c r="E419">
        <v>3</v>
      </c>
      <c r="F419" t="s">
        <v>2</v>
      </c>
      <c r="G419" s="4" t="e">
        <f>IF(MASTER_TABLE[[#This Row],[EMPLOYMENT]]="EMPLOYED", MASTER_TABLE[[#This Row],[actual order]],NA())</f>
        <v>#N/A</v>
      </c>
      <c r="H419" s="4">
        <f>IF(MASTER_TABLE[[#This Row],[EMPLOYMENT]]="UNEMPLOYED", MASTER_TABLE[[#This Row],[actual order]], NA())</f>
        <v>356</v>
      </c>
    </row>
    <row r="420" spans="1:8" x14ac:dyDescent="0.25">
      <c r="A420" s="1">
        <v>41626</v>
      </c>
      <c r="B420">
        <v>13</v>
      </c>
      <c r="C420">
        <v>341</v>
      </c>
      <c r="D420" t="s">
        <v>21</v>
      </c>
      <c r="E420">
        <v>3</v>
      </c>
      <c r="F420" t="s">
        <v>2</v>
      </c>
      <c r="G420" s="4" t="e">
        <f>IF(MASTER_TABLE[[#This Row],[EMPLOYMENT]]="EMPLOYED", MASTER_TABLE[[#This Row],[actual order]],NA())</f>
        <v>#N/A</v>
      </c>
      <c r="H420" s="4">
        <f>IF(MASTER_TABLE[[#This Row],[EMPLOYMENT]]="UNEMPLOYED", MASTER_TABLE[[#This Row],[actual order]], NA())</f>
        <v>341</v>
      </c>
    </row>
    <row r="421" spans="1:8" x14ac:dyDescent="0.25">
      <c r="A421" s="1">
        <v>41649</v>
      </c>
      <c r="B421">
        <v>13</v>
      </c>
      <c r="C421">
        <v>347</v>
      </c>
      <c r="D421" t="s">
        <v>21</v>
      </c>
      <c r="E421">
        <v>3</v>
      </c>
      <c r="F421" t="s">
        <v>2</v>
      </c>
      <c r="G421" s="4" t="e">
        <f>IF(MASTER_TABLE[[#This Row],[EMPLOYMENT]]="EMPLOYED", MASTER_TABLE[[#This Row],[actual order]],NA())</f>
        <v>#N/A</v>
      </c>
      <c r="H421" s="4">
        <f>IF(MASTER_TABLE[[#This Row],[EMPLOYMENT]]="UNEMPLOYED", MASTER_TABLE[[#This Row],[actual order]], NA())</f>
        <v>347</v>
      </c>
    </row>
    <row r="422" spans="1:8" x14ac:dyDescent="0.25">
      <c r="A422" s="1">
        <v>41653</v>
      </c>
      <c r="B422">
        <v>13</v>
      </c>
      <c r="C422">
        <v>349</v>
      </c>
      <c r="D422" t="s">
        <v>21</v>
      </c>
      <c r="E422">
        <v>3</v>
      </c>
      <c r="F422" t="s">
        <v>2</v>
      </c>
      <c r="G422" s="4" t="e">
        <f>IF(MASTER_TABLE[[#This Row],[EMPLOYMENT]]="EMPLOYED", MASTER_TABLE[[#This Row],[actual order]],NA())</f>
        <v>#N/A</v>
      </c>
      <c r="H422" s="4">
        <f>IF(MASTER_TABLE[[#This Row],[EMPLOYMENT]]="UNEMPLOYED", MASTER_TABLE[[#This Row],[actual order]], NA())</f>
        <v>349</v>
      </c>
    </row>
    <row r="423" spans="1:8" x14ac:dyDescent="0.25">
      <c r="A423" s="1">
        <v>41659</v>
      </c>
      <c r="B423">
        <v>13</v>
      </c>
      <c r="C423">
        <v>370</v>
      </c>
      <c r="D423" t="s">
        <v>21</v>
      </c>
      <c r="E423">
        <v>3</v>
      </c>
      <c r="F423" t="s">
        <v>2</v>
      </c>
      <c r="G423" s="4" t="e">
        <f>IF(MASTER_TABLE[[#This Row],[EMPLOYMENT]]="EMPLOYED", MASTER_TABLE[[#This Row],[actual order]],NA())</f>
        <v>#N/A</v>
      </c>
      <c r="H423" s="4">
        <f>IF(MASTER_TABLE[[#This Row],[EMPLOYMENT]]="UNEMPLOYED", MASTER_TABLE[[#This Row],[actual order]], NA())</f>
        <v>370</v>
      </c>
    </row>
    <row r="424" spans="1:8" x14ac:dyDescent="0.25">
      <c r="A424" s="1">
        <v>41668</v>
      </c>
      <c r="B424">
        <v>13</v>
      </c>
      <c r="C424">
        <v>373</v>
      </c>
      <c r="D424" t="s">
        <v>21</v>
      </c>
      <c r="E424">
        <v>3</v>
      </c>
      <c r="F424" t="s">
        <v>2</v>
      </c>
      <c r="G424" s="4" t="e">
        <f>IF(MASTER_TABLE[[#This Row],[EMPLOYMENT]]="EMPLOYED", MASTER_TABLE[[#This Row],[actual order]],NA())</f>
        <v>#N/A</v>
      </c>
      <c r="H424" s="4">
        <f>IF(MASTER_TABLE[[#This Row],[EMPLOYMENT]]="UNEMPLOYED", MASTER_TABLE[[#This Row],[actual order]], NA())</f>
        <v>373</v>
      </c>
    </row>
    <row r="425" spans="1:8" x14ac:dyDescent="0.25">
      <c r="A425" s="1">
        <v>41672</v>
      </c>
      <c r="B425">
        <v>13</v>
      </c>
      <c r="C425">
        <v>368</v>
      </c>
      <c r="D425" t="s">
        <v>21</v>
      </c>
      <c r="E425">
        <v>3</v>
      </c>
      <c r="F425" t="s">
        <v>2</v>
      </c>
      <c r="G425" s="4" t="e">
        <f>IF(MASTER_TABLE[[#This Row],[EMPLOYMENT]]="EMPLOYED", MASTER_TABLE[[#This Row],[actual order]],NA())</f>
        <v>#N/A</v>
      </c>
      <c r="H425" s="4">
        <f>IF(MASTER_TABLE[[#This Row],[EMPLOYMENT]]="UNEMPLOYED", MASTER_TABLE[[#This Row],[actual order]], NA())</f>
        <v>368</v>
      </c>
    </row>
    <row r="426" spans="1:8" x14ac:dyDescent="0.25">
      <c r="A426" s="1">
        <v>41709</v>
      </c>
      <c r="B426">
        <v>13</v>
      </c>
      <c r="C426">
        <v>319</v>
      </c>
      <c r="D426" t="s">
        <v>21</v>
      </c>
      <c r="E426">
        <v>3</v>
      </c>
      <c r="F426" t="s">
        <v>2</v>
      </c>
      <c r="G426" s="4" t="e">
        <f>IF(MASTER_TABLE[[#This Row],[EMPLOYMENT]]="EMPLOYED", MASTER_TABLE[[#This Row],[actual order]],NA())</f>
        <v>#N/A</v>
      </c>
      <c r="H426" s="4">
        <f>IF(MASTER_TABLE[[#This Row],[EMPLOYMENT]]="UNEMPLOYED", MASTER_TABLE[[#This Row],[actual order]], NA())</f>
        <v>319</v>
      </c>
    </row>
    <row r="427" spans="1:8" x14ac:dyDescent="0.25">
      <c r="A427" s="1">
        <v>41712</v>
      </c>
      <c r="B427">
        <v>13</v>
      </c>
      <c r="C427">
        <v>357</v>
      </c>
      <c r="D427" t="s">
        <v>21</v>
      </c>
      <c r="E427">
        <v>3</v>
      </c>
      <c r="F427" t="s">
        <v>2</v>
      </c>
      <c r="G427" s="4" t="e">
        <f>IF(MASTER_TABLE[[#This Row],[EMPLOYMENT]]="EMPLOYED", MASTER_TABLE[[#This Row],[actual order]],NA())</f>
        <v>#N/A</v>
      </c>
      <c r="H427" s="4">
        <f>IF(MASTER_TABLE[[#This Row],[EMPLOYMENT]]="UNEMPLOYED", MASTER_TABLE[[#This Row],[actual order]], NA())</f>
        <v>357</v>
      </c>
    </row>
    <row r="428" spans="1:8" x14ac:dyDescent="0.25">
      <c r="A428" s="1">
        <v>41719</v>
      </c>
      <c r="B428">
        <v>13</v>
      </c>
      <c r="C428">
        <v>345</v>
      </c>
      <c r="D428" t="s">
        <v>21</v>
      </c>
      <c r="E428">
        <v>3</v>
      </c>
      <c r="F428" t="s">
        <v>2</v>
      </c>
      <c r="G428" s="4" t="e">
        <f>IF(MASTER_TABLE[[#This Row],[EMPLOYMENT]]="EMPLOYED", MASTER_TABLE[[#This Row],[actual order]],NA())</f>
        <v>#N/A</v>
      </c>
      <c r="H428" s="4">
        <f>IF(MASTER_TABLE[[#This Row],[EMPLOYMENT]]="UNEMPLOYED", MASTER_TABLE[[#This Row],[actual order]], NA())</f>
        <v>345</v>
      </c>
    </row>
    <row r="429" spans="1:8" x14ac:dyDescent="0.25">
      <c r="A429" s="1">
        <v>41743</v>
      </c>
      <c r="B429">
        <v>13</v>
      </c>
      <c r="C429">
        <v>345</v>
      </c>
      <c r="D429" t="s">
        <v>21</v>
      </c>
      <c r="E429">
        <v>3</v>
      </c>
      <c r="F429" t="s">
        <v>2</v>
      </c>
      <c r="G429" s="4" t="e">
        <f>IF(MASTER_TABLE[[#This Row],[EMPLOYMENT]]="EMPLOYED", MASTER_TABLE[[#This Row],[actual order]],NA())</f>
        <v>#N/A</v>
      </c>
      <c r="H429" s="4">
        <f>IF(MASTER_TABLE[[#This Row],[EMPLOYMENT]]="UNEMPLOYED", MASTER_TABLE[[#This Row],[actual order]], NA())</f>
        <v>345</v>
      </c>
    </row>
    <row r="430" spans="1:8" x14ac:dyDescent="0.25">
      <c r="A430" s="1">
        <v>41744</v>
      </c>
      <c r="B430">
        <v>13</v>
      </c>
      <c r="C430">
        <v>368</v>
      </c>
      <c r="D430" t="s">
        <v>21</v>
      </c>
      <c r="E430">
        <v>3</v>
      </c>
      <c r="F430" t="s">
        <v>2</v>
      </c>
      <c r="G430" s="4" t="e">
        <f>IF(MASTER_TABLE[[#This Row],[EMPLOYMENT]]="EMPLOYED", MASTER_TABLE[[#This Row],[actual order]],NA())</f>
        <v>#N/A</v>
      </c>
      <c r="H430" s="4">
        <f>IF(MASTER_TABLE[[#This Row],[EMPLOYMENT]]="UNEMPLOYED", MASTER_TABLE[[#This Row],[actual order]], NA())</f>
        <v>368</v>
      </c>
    </row>
    <row r="431" spans="1:8" x14ac:dyDescent="0.25">
      <c r="A431" s="1">
        <v>41748</v>
      </c>
      <c r="B431">
        <v>13</v>
      </c>
      <c r="C431">
        <v>311</v>
      </c>
      <c r="D431" t="s">
        <v>21</v>
      </c>
      <c r="E431">
        <v>3</v>
      </c>
      <c r="F431" t="s">
        <v>2</v>
      </c>
      <c r="G431" s="4" t="e">
        <f>IF(MASTER_TABLE[[#This Row],[EMPLOYMENT]]="EMPLOYED", MASTER_TABLE[[#This Row],[actual order]],NA())</f>
        <v>#N/A</v>
      </c>
      <c r="H431" s="4">
        <f>IF(MASTER_TABLE[[#This Row],[EMPLOYMENT]]="UNEMPLOYED", MASTER_TABLE[[#This Row],[actual order]], NA())</f>
        <v>311</v>
      </c>
    </row>
    <row r="432" spans="1:8" x14ac:dyDescent="0.25">
      <c r="A432" s="1">
        <v>41752</v>
      </c>
      <c r="B432">
        <v>13</v>
      </c>
      <c r="C432">
        <v>355</v>
      </c>
      <c r="D432" t="s">
        <v>21</v>
      </c>
      <c r="E432">
        <v>3</v>
      </c>
      <c r="F432" t="s">
        <v>2</v>
      </c>
      <c r="G432" s="4" t="e">
        <f>IF(MASTER_TABLE[[#This Row],[EMPLOYMENT]]="EMPLOYED", MASTER_TABLE[[#This Row],[actual order]],NA())</f>
        <v>#N/A</v>
      </c>
      <c r="H432" s="4">
        <f>IF(MASTER_TABLE[[#This Row],[EMPLOYMENT]]="UNEMPLOYED", MASTER_TABLE[[#This Row],[actual order]], NA())</f>
        <v>355</v>
      </c>
    </row>
    <row r="433" spans="1:8" x14ac:dyDescent="0.25">
      <c r="A433" s="1">
        <v>41761</v>
      </c>
      <c r="B433">
        <v>13</v>
      </c>
      <c r="C433">
        <v>338</v>
      </c>
      <c r="D433" t="s">
        <v>21</v>
      </c>
      <c r="E433">
        <v>3</v>
      </c>
      <c r="F433" t="s">
        <v>2</v>
      </c>
      <c r="G433" s="4" t="e">
        <f>IF(MASTER_TABLE[[#This Row],[EMPLOYMENT]]="EMPLOYED", MASTER_TABLE[[#This Row],[actual order]],NA())</f>
        <v>#N/A</v>
      </c>
      <c r="H433" s="4">
        <f>IF(MASTER_TABLE[[#This Row],[EMPLOYMENT]]="UNEMPLOYED", MASTER_TABLE[[#This Row],[actual order]], NA())</f>
        <v>338</v>
      </c>
    </row>
    <row r="434" spans="1:8" x14ac:dyDescent="0.25">
      <c r="A434" s="1">
        <v>41781</v>
      </c>
      <c r="B434">
        <v>13</v>
      </c>
      <c r="C434">
        <v>313</v>
      </c>
      <c r="D434" t="s">
        <v>21</v>
      </c>
      <c r="E434">
        <v>3</v>
      </c>
      <c r="F434" t="s">
        <v>2</v>
      </c>
      <c r="G434" s="4" t="e">
        <f>IF(MASTER_TABLE[[#This Row],[EMPLOYMENT]]="EMPLOYED", MASTER_TABLE[[#This Row],[actual order]],NA())</f>
        <v>#N/A</v>
      </c>
      <c r="H434" s="4">
        <f>IF(MASTER_TABLE[[#This Row],[EMPLOYMENT]]="UNEMPLOYED", MASTER_TABLE[[#This Row],[actual order]], NA())</f>
        <v>313</v>
      </c>
    </row>
    <row r="435" spans="1:8" x14ac:dyDescent="0.25">
      <c r="A435" s="1">
        <v>41635</v>
      </c>
      <c r="B435">
        <v>14</v>
      </c>
      <c r="C435">
        <v>349</v>
      </c>
      <c r="D435" t="s">
        <v>21</v>
      </c>
      <c r="E435">
        <v>4</v>
      </c>
      <c r="F435" t="s">
        <v>2</v>
      </c>
      <c r="G435" s="4" t="e">
        <f>IF(MASTER_TABLE[[#This Row],[EMPLOYMENT]]="EMPLOYED", MASTER_TABLE[[#This Row],[actual order]],NA())</f>
        <v>#N/A</v>
      </c>
      <c r="H435" s="4">
        <f>IF(MASTER_TABLE[[#This Row],[EMPLOYMENT]]="UNEMPLOYED", MASTER_TABLE[[#This Row],[actual order]], NA())</f>
        <v>349</v>
      </c>
    </row>
    <row r="436" spans="1:8" x14ac:dyDescent="0.25">
      <c r="A436" s="1">
        <v>41651</v>
      </c>
      <c r="B436">
        <v>14</v>
      </c>
      <c r="C436">
        <v>354</v>
      </c>
      <c r="D436" t="s">
        <v>21</v>
      </c>
      <c r="E436">
        <v>4</v>
      </c>
      <c r="F436" t="s">
        <v>2</v>
      </c>
      <c r="G436" s="4" t="e">
        <f>IF(MASTER_TABLE[[#This Row],[EMPLOYMENT]]="EMPLOYED", MASTER_TABLE[[#This Row],[actual order]],NA())</f>
        <v>#N/A</v>
      </c>
      <c r="H436" s="4">
        <f>IF(MASTER_TABLE[[#This Row],[EMPLOYMENT]]="UNEMPLOYED", MASTER_TABLE[[#This Row],[actual order]], NA())</f>
        <v>354</v>
      </c>
    </row>
    <row r="437" spans="1:8" x14ac:dyDescent="0.25">
      <c r="A437" s="1">
        <v>41672</v>
      </c>
      <c r="B437">
        <v>14</v>
      </c>
      <c r="C437">
        <v>360</v>
      </c>
      <c r="D437" t="s">
        <v>21</v>
      </c>
      <c r="E437">
        <v>4</v>
      </c>
      <c r="F437" t="s">
        <v>2</v>
      </c>
      <c r="G437" s="4" t="e">
        <f>IF(MASTER_TABLE[[#This Row],[EMPLOYMENT]]="EMPLOYED", MASTER_TABLE[[#This Row],[actual order]],NA())</f>
        <v>#N/A</v>
      </c>
      <c r="H437" s="4">
        <f>IF(MASTER_TABLE[[#This Row],[EMPLOYMENT]]="UNEMPLOYED", MASTER_TABLE[[#This Row],[actual order]], NA())</f>
        <v>360</v>
      </c>
    </row>
    <row r="438" spans="1:8" x14ac:dyDescent="0.25">
      <c r="A438" s="1">
        <v>41689</v>
      </c>
      <c r="B438">
        <v>14</v>
      </c>
      <c r="C438">
        <v>379</v>
      </c>
      <c r="D438" t="s">
        <v>21</v>
      </c>
      <c r="E438">
        <v>4</v>
      </c>
      <c r="F438" t="s">
        <v>2</v>
      </c>
      <c r="G438" s="4" t="e">
        <f>IF(MASTER_TABLE[[#This Row],[EMPLOYMENT]]="EMPLOYED", MASTER_TABLE[[#This Row],[actual order]],NA())</f>
        <v>#N/A</v>
      </c>
      <c r="H438" s="4">
        <f>IF(MASTER_TABLE[[#This Row],[EMPLOYMENT]]="UNEMPLOYED", MASTER_TABLE[[#This Row],[actual order]], NA())</f>
        <v>379</v>
      </c>
    </row>
    <row r="439" spans="1:8" x14ac:dyDescent="0.25">
      <c r="A439" s="1">
        <v>41693</v>
      </c>
      <c r="B439">
        <v>14</v>
      </c>
      <c r="C439">
        <v>362</v>
      </c>
      <c r="D439" t="s">
        <v>21</v>
      </c>
      <c r="E439">
        <v>4</v>
      </c>
      <c r="F439" t="s">
        <v>2</v>
      </c>
      <c r="G439" s="4" t="e">
        <f>IF(MASTER_TABLE[[#This Row],[EMPLOYMENT]]="EMPLOYED", MASTER_TABLE[[#This Row],[actual order]],NA())</f>
        <v>#N/A</v>
      </c>
      <c r="H439" s="4">
        <f>IF(MASTER_TABLE[[#This Row],[EMPLOYMENT]]="UNEMPLOYED", MASTER_TABLE[[#This Row],[actual order]], NA())</f>
        <v>362</v>
      </c>
    </row>
    <row r="440" spans="1:8" x14ac:dyDescent="0.25">
      <c r="A440" s="1">
        <v>41707</v>
      </c>
      <c r="B440">
        <v>14</v>
      </c>
      <c r="C440">
        <v>324</v>
      </c>
      <c r="D440" t="s">
        <v>21</v>
      </c>
      <c r="E440">
        <v>4</v>
      </c>
      <c r="F440" t="s">
        <v>2</v>
      </c>
      <c r="G440" s="4" t="e">
        <f>IF(MASTER_TABLE[[#This Row],[EMPLOYMENT]]="EMPLOYED", MASTER_TABLE[[#This Row],[actual order]],NA())</f>
        <v>#N/A</v>
      </c>
      <c r="H440" s="4">
        <f>IF(MASTER_TABLE[[#This Row],[EMPLOYMENT]]="UNEMPLOYED", MASTER_TABLE[[#This Row],[actual order]], NA())</f>
        <v>324</v>
      </c>
    </row>
    <row r="441" spans="1:8" x14ac:dyDescent="0.25">
      <c r="A441" s="1">
        <v>41709</v>
      </c>
      <c r="B441">
        <v>14</v>
      </c>
      <c r="C441">
        <v>343</v>
      </c>
      <c r="D441" t="s">
        <v>21</v>
      </c>
      <c r="E441">
        <v>4</v>
      </c>
      <c r="F441" t="s">
        <v>2</v>
      </c>
      <c r="G441" s="4" t="e">
        <f>IF(MASTER_TABLE[[#This Row],[EMPLOYMENT]]="EMPLOYED", MASTER_TABLE[[#This Row],[actual order]],NA())</f>
        <v>#N/A</v>
      </c>
      <c r="H441" s="4">
        <f>IF(MASTER_TABLE[[#This Row],[EMPLOYMENT]]="UNEMPLOYED", MASTER_TABLE[[#This Row],[actual order]], NA())</f>
        <v>343</v>
      </c>
    </row>
    <row r="442" spans="1:8" x14ac:dyDescent="0.25">
      <c r="A442" s="1">
        <v>41709</v>
      </c>
      <c r="B442">
        <v>14</v>
      </c>
      <c r="C442">
        <v>325</v>
      </c>
      <c r="D442" t="s">
        <v>21</v>
      </c>
      <c r="E442">
        <v>4</v>
      </c>
      <c r="F442" t="s">
        <v>2</v>
      </c>
      <c r="G442" s="4" t="e">
        <f>IF(MASTER_TABLE[[#This Row],[EMPLOYMENT]]="EMPLOYED", MASTER_TABLE[[#This Row],[actual order]],NA())</f>
        <v>#N/A</v>
      </c>
      <c r="H442" s="4">
        <f>IF(MASTER_TABLE[[#This Row],[EMPLOYMENT]]="UNEMPLOYED", MASTER_TABLE[[#This Row],[actual order]], NA())</f>
        <v>325</v>
      </c>
    </row>
    <row r="443" spans="1:8" x14ac:dyDescent="0.25">
      <c r="A443" s="1">
        <v>41710</v>
      </c>
      <c r="B443">
        <v>14</v>
      </c>
      <c r="C443">
        <v>394</v>
      </c>
      <c r="D443" t="s">
        <v>21</v>
      </c>
      <c r="E443">
        <v>4</v>
      </c>
      <c r="F443" t="s">
        <v>2</v>
      </c>
      <c r="G443" s="4" t="e">
        <f>IF(MASTER_TABLE[[#This Row],[EMPLOYMENT]]="EMPLOYED", MASTER_TABLE[[#This Row],[actual order]],NA())</f>
        <v>#N/A</v>
      </c>
      <c r="H443" s="4">
        <f>IF(MASTER_TABLE[[#This Row],[EMPLOYMENT]]="UNEMPLOYED", MASTER_TABLE[[#This Row],[actual order]], NA())</f>
        <v>394</v>
      </c>
    </row>
    <row r="444" spans="1:8" x14ac:dyDescent="0.25">
      <c r="A444" s="1">
        <v>41710</v>
      </c>
      <c r="B444">
        <v>14</v>
      </c>
      <c r="C444">
        <v>361</v>
      </c>
      <c r="D444" t="s">
        <v>21</v>
      </c>
      <c r="E444">
        <v>4</v>
      </c>
      <c r="F444" t="s">
        <v>2</v>
      </c>
      <c r="G444" s="4" t="e">
        <f>IF(MASTER_TABLE[[#This Row],[EMPLOYMENT]]="EMPLOYED", MASTER_TABLE[[#This Row],[actual order]],NA())</f>
        <v>#N/A</v>
      </c>
      <c r="H444" s="4">
        <f>IF(MASTER_TABLE[[#This Row],[EMPLOYMENT]]="UNEMPLOYED", MASTER_TABLE[[#This Row],[actual order]], NA())</f>
        <v>361</v>
      </c>
    </row>
    <row r="445" spans="1:8" x14ac:dyDescent="0.25">
      <c r="A445" s="1">
        <v>41713</v>
      </c>
      <c r="B445">
        <v>14</v>
      </c>
      <c r="C445">
        <v>390</v>
      </c>
      <c r="D445" t="s">
        <v>21</v>
      </c>
      <c r="E445">
        <v>4</v>
      </c>
      <c r="F445" t="s">
        <v>2</v>
      </c>
      <c r="G445" s="4" t="e">
        <f>IF(MASTER_TABLE[[#This Row],[EMPLOYMENT]]="EMPLOYED", MASTER_TABLE[[#This Row],[actual order]],NA())</f>
        <v>#N/A</v>
      </c>
      <c r="H445" s="4">
        <f>IF(MASTER_TABLE[[#This Row],[EMPLOYMENT]]="UNEMPLOYED", MASTER_TABLE[[#This Row],[actual order]], NA())</f>
        <v>390</v>
      </c>
    </row>
    <row r="446" spans="1:8" x14ac:dyDescent="0.25">
      <c r="A446" s="1">
        <v>41730</v>
      </c>
      <c r="B446">
        <v>14</v>
      </c>
      <c r="C446">
        <v>345</v>
      </c>
      <c r="D446" t="s">
        <v>21</v>
      </c>
      <c r="E446">
        <v>4</v>
      </c>
      <c r="F446" t="s">
        <v>2</v>
      </c>
      <c r="G446" s="4" t="e">
        <f>IF(MASTER_TABLE[[#This Row],[EMPLOYMENT]]="EMPLOYED", MASTER_TABLE[[#This Row],[actual order]],NA())</f>
        <v>#N/A</v>
      </c>
      <c r="H446" s="4">
        <f>IF(MASTER_TABLE[[#This Row],[EMPLOYMENT]]="UNEMPLOYED", MASTER_TABLE[[#This Row],[actual order]], NA())</f>
        <v>345</v>
      </c>
    </row>
    <row r="447" spans="1:8" x14ac:dyDescent="0.25">
      <c r="A447" s="1">
        <v>41734</v>
      </c>
      <c r="B447">
        <v>14</v>
      </c>
      <c r="C447">
        <v>318</v>
      </c>
      <c r="D447" t="s">
        <v>21</v>
      </c>
      <c r="E447">
        <v>4</v>
      </c>
      <c r="F447" t="s">
        <v>2</v>
      </c>
      <c r="G447" s="4" t="e">
        <f>IF(MASTER_TABLE[[#This Row],[EMPLOYMENT]]="EMPLOYED", MASTER_TABLE[[#This Row],[actual order]],NA())</f>
        <v>#N/A</v>
      </c>
      <c r="H447" s="4">
        <f>IF(MASTER_TABLE[[#This Row],[EMPLOYMENT]]="UNEMPLOYED", MASTER_TABLE[[#This Row],[actual order]], NA())</f>
        <v>318</v>
      </c>
    </row>
    <row r="448" spans="1:8" x14ac:dyDescent="0.25">
      <c r="A448" s="1">
        <v>41734</v>
      </c>
      <c r="B448">
        <v>14</v>
      </c>
      <c r="C448">
        <v>394</v>
      </c>
      <c r="D448" t="s">
        <v>21</v>
      </c>
      <c r="E448">
        <v>4</v>
      </c>
      <c r="F448" t="s">
        <v>2</v>
      </c>
      <c r="G448" s="4" t="e">
        <f>IF(MASTER_TABLE[[#This Row],[EMPLOYMENT]]="EMPLOYED", MASTER_TABLE[[#This Row],[actual order]],NA())</f>
        <v>#N/A</v>
      </c>
      <c r="H448" s="4">
        <f>IF(MASTER_TABLE[[#This Row],[EMPLOYMENT]]="UNEMPLOYED", MASTER_TABLE[[#This Row],[actual order]], NA())</f>
        <v>394</v>
      </c>
    </row>
    <row r="449" spans="1:8" x14ac:dyDescent="0.25">
      <c r="A449" s="1">
        <v>41746</v>
      </c>
      <c r="B449">
        <v>14</v>
      </c>
      <c r="C449">
        <v>381</v>
      </c>
      <c r="D449" t="s">
        <v>21</v>
      </c>
      <c r="E449">
        <v>4</v>
      </c>
      <c r="F449" t="s">
        <v>2</v>
      </c>
      <c r="G449" s="4" t="e">
        <f>IF(MASTER_TABLE[[#This Row],[EMPLOYMENT]]="EMPLOYED", MASTER_TABLE[[#This Row],[actual order]],NA())</f>
        <v>#N/A</v>
      </c>
      <c r="H449" s="4">
        <f>IF(MASTER_TABLE[[#This Row],[EMPLOYMENT]]="UNEMPLOYED", MASTER_TABLE[[#This Row],[actual order]], NA())</f>
        <v>381</v>
      </c>
    </row>
    <row r="450" spans="1:8" x14ac:dyDescent="0.25">
      <c r="A450" s="1">
        <v>41759</v>
      </c>
      <c r="B450">
        <v>14</v>
      </c>
      <c r="C450">
        <v>362</v>
      </c>
      <c r="D450" t="s">
        <v>21</v>
      </c>
      <c r="E450">
        <v>4</v>
      </c>
      <c r="F450" t="s">
        <v>2</v>
      </c>
      <c r="G450" s="4" t="e">
        <f>IF(MASTER_TABLE[[#This Row],[EMPLOYMENT]]="EMPLOYED", MASTER_TABLE[[#This Row],[actual order]],NA())</f>
        <v>#N/A</v>
      </c>
      <c r="H450" s="4">
        <f>IF(MASTER_TABLE[[#This Row],[EMPLOYMENT]]="UNEMPLOYED", MASTER_TABLE[[#This Row],[actual order]], NA())</f>
        <v>362</v>
      </c>
    </row>
    <row r="451" spans="1:8" x14ac:dyDescent="0.25">
      <c r="A451" s="1">
        <v>41765</v>
      </c>
      <c r="B451">
        <v>14</v>
      </c>
      <c r="C451">
        <v>329</v>
      </c>
      <c r="D451" t="s">
        <v>21</v>
      </c>
      <c r="E451">
        <v>4</v>
      </c>
      <c r="F451" t="s">
        <v>2</v>
      </c>
      <c r="G451" s="4" t="e">
        <f>IF(MASTER_TABLE[[#This Row],[EMPLOYMENT]]="EMPLOYED", MASTER_TABLE[[#This Row],[actual order]],NA())</f>
        <v>#N/A</v>
      </c>
      <c r="H451" s="4">
        <f>IF(MASTER_TABLE[[#This Row],[EMPLOYMENT]]="UNEMPLOYED", MASTER_TABLE[[#This Row],[actual order]], NA())</f>
        <v>329</v>
      </c>
    </row>
    <row r="452" spans="1:8" x14ac:dyDescent="0.25">
      <c r="A452" s="1">
        <v>41770</v>
      </c>
      <c r="B452">
        <v>14</v>
      </c>
      <c r="C452">
        <v>318</v>
      </c>
      <c r="D452" t="s">
        <v>21</v>
      </c>
      <c r="E452">
        <v>4</v>
      </c>
      <c r="F452" t="s">
        <v>2</v>
      </c>
      <c r="G452" s="4" t="e">
        <f>IF(MASTER_TABLE[[#This Row],[EMPLOYMENT]]="EMPLOYED", MASTER_TABLE[[#This Row],[actual order]],NA())</f>
        <v>#N/A</v>
      </c>
      <c r="H452" s="4">
        <f>IF(MASTER_TABLE[[#This Row],[EMPLOYMENT]]="UNEMPLOYED", MASTER_TABLE[[#This Row],[actual order]], NA())</f>
        <v>318</v>
      </c>
    </row>
    <row r="453" spans="1:8" x14ac:dyDescent="0.25">
      <c r="A453" s="1">
        <v>41783</v>
      </c>
      <c r="B453">
        <v>14</v>
      </c>
      <c r="C453">
        <v>347</v>
      </c>
      <c r="D453" t="s">
        <v>21</v>
      </c>
      <c r="E453">
        <v>4</v>
      </c>
      <c r="F453" t="s">
        <v>2</v>
      </c>
      <c r="G453" s="4" t="e">
        <f>IF(MASTER_TABLE[[#This Row],[EMPLOYMENT]]="EMPLOYED", MASTER_TABLE[[#This Row],[actual order]],NA())</f>
        <v>#N/A</v>
      </c>
      <c r="H453" s="4">
        <f>IF(MASTER_TABLE[[#This Row],[EMPLOYMENT]]="UNEMPLOYED", MASTER_TABLE[[#This Row],[actual order]], NA())</f>
        <v>347</v>
      </c>
    </row>
    <row r="454" spans="1:8" x14ac:dyDescent="0.25">
      <c r="A454" s="1">
        <v>41815</v>
      </c>
      <c r="B454">
        <v>14</v>
      </c>
      <c r="C454">
        <v>366</v>
      </c>
      <c r="D454" t="s">
        <v>21</v>
      </c>
      <c r="E454">
        <v>4</v>
      </c>
      <c r="F454" t="s">
        <v>2</v>
      </c>
      <c r="G454" s="4" t="e">
        <f>IF(MASTER_TABLE[[#This Row],[EMPLOYMENT]]="EMPLOYED", MASTER_TABLE[[#This Row],[actual order]],NA())</f>
        <v>#N/A</v>
      </c>
      <c r="H454" s="4">
        <f>IF(MASTER_TABLE[[#This Row],[EMPLOYMENT]]="UNEMPLOYED", MASTER_TABLE[[#This Row],[actual order]], NA())</f>
        <v>366</v>
      </c>
    </row>
    <row r="455" spans="1:8" x14ac:dyDescent="0.25">
      <c r="A455" s="1">
        <v>41622</v>
      </c>
      <c r="B455">
        <v>15</v>
      </c>
      <c r="C455">
        <v>424</v>
      </c>
      <c r="D455" t="s">
        <v>21</v>
      </c>
      <c r="E455">
        <v>13</v>
      </c>
      <c r="F455" t="s">
        <v>3</v>
      </c>
      <c r="G455" s="4" t="e">
        <f>IF(MASTER_TABLE[[#This Row],[EMPLOYMENT]]="EMPLOYED", MASTER_TABLE[[#This Row],[actual order]],NA())</f>
        <v>#N/A</v>
      </c>
      <c r="H455" s="4">
        <f>IF(MASTER_TABLE[[#This Row],[EMPLOYMENT]]="UNEMPLOYED", MASTER_TABLE[[#This Row],[actual order]], NA())</f>
        <v>424</v>
      </c>
    </row>
    <row r="456" spans="1:8" x14ac:dyDescent="0.25">
      <c r="A456" s="1">
        <v>41625</v>
      </c>
      <c r="B456">
        <v>15</v>
      </c>
      <c r="C456">
        <v>482</v>
      </c>
      <c r="D456" t="s">
        <v>21</v>
      </c>
      <c r="E456">
        <v>13</v>
      </c>
      <c r="F456" t="s">
        <v>3</v>
      </c>
      <c r="G456" s="4" t="e">
        <f>IF(MASTER_TABLE[[#This Row],[EMPLOYMENT]]="EMPLOYED", MASTER_TABLE[[#This Row],[actual order]],NA())</f>
        <v>#N/A</v>
      </c>
      <c r="H456" s="4">
        <f>IF(MASTER_TABLE[[#This Row],[EMPLOYMENT]]="UNEMPLOYED", MASTER_TABLE[[#This Row],[actual order]], NA())</f>
        <v>482</v>
      </c>
    </row>
    <row r="457" spans="1:8" x14ac:dyDescent="0.25">
      <c r="A457" s="1">
        <v>41625</v>
      </c>
      <c r="B457">
        <v>15</v>
      </c>
      <c r="C457">
        <v>495</v>
      </c>
      <c r="D457" t="s">
        <v>21</v>
      </c>
      <c r="E457">
        <v>13</v>
      </c>
      <c r="F457" t="s">
        <v>3</v>
      </c>
      <c r="G457" s="4" t="e">
        <f>IF(MASTER_TABLE[[#This Row],[EMPLOYMENT]]="EMPLOYED", MASTER_TABLE[[#This Row],[actual order]],NA())</f>
        <v>#N/A</v>
      </c>
      <c r="H457" s="4">
        <f>IF(MASTER_TABLE[[#This Row],[EMPLOYMENT]]="UNEMPLOYED", MASTER_TABLE[[#This Row],[actual order]], NA())</f>
        <v>495</v>
      </c>
    </row>
    <row r="458" spans="1:8" x14ac:dyDescent="0.25">
      <c r="A458" s="1">
        <v>41652</v>
      </c>
      <c r="B458">
        <v>15</v>
      </c>
      <c r="C458">
        <v>429</v>
      </c>
      <c r="D458" t="s">
        <v>21</v>
      </c>
      <c r="E458">
        <v>13</v>
      </c>
      <c r="F458" t="s">
        <v>3</v>
      </c>
      <c r="G458" s="4" t="e">
        <f>IF(MASTER_TABLE[[#This Row],[EMPLOYMENT]]="EMPLOYED", MASTER_TABLE[[#This Row],[actual order]],NA())</f>
        <v>#N/A</v>
      </c>
      <c r="H458" s="4">
        <f>IF(MASTER_TABLE[[#This Row],[EMPLOYMENT]]="UNEMPLOYED", MASTER_TABLE[[#This Row],[actual order]], NA())</f>
        <v>429</v>
      </c>
    </row>
    <row r="459" spans="1:8" x14ac:dyDescent="0.25">
      <c r="A459" s="1">
        <v>41652</v>
      </c>
      <c r="B459">
        <v>15</v>
      </c>
      <c r="C459">
        <v>452</v>
      </c>
      <c r="D459" t="s">
        <v>21</v>
      </c>
      <c r="E459">
        <v>13</v>
      </c>
      <c r="F459" t="s">
        <v>3</v>
      </c>
      <c r="G459" s="4" t="e">
        <f>IF(MASTER_TABLE[[#This Row],[EMPLOYMENT]]="EMPLOYED", MASTER_TABLE[[#This Row],[actual order]],NA())</f>
        <v>#N/A</v>
      </c>
      <c r="H459" s="4">
        <f>IF(MASTER_TABLE[[#This Row],[EMPLOYMENT]]="UNEMPLOYED", MASTER_TABLE[[#This Row],[actual order]], NA())</f>
        <v>452</v>
      </c>
    </row>
    <row r="460" spans="1:8" x14ac:dyDescent="0.25">
      <c r="A460" s="1">
        <v>41655</v>
      </c>
      <c r="B460">
        <v>15</v>
      </c>
      <c r="C460">
        <v>404</v>
      </c>
      <c r="D460" t="s">
        <v>21</v>
      </c>
      <c r="E460">
        <v>13</v>
      </c>
      <c r="F460" t="s">
        <v>3</v>
      </c>
      <c r="G460" s="4" t="e">
        <f>IF(MASTER_TABLE[[#This Row],[EMPLOYMENT]]="EMPLOYED", MASTER_TABLE[[#This Row],[actual order]],NA())</f>
        <v>#N/A</v>
      </c>
      <c r="H460" s="4">
        <f>IF(MASTER_TABLE[[#This Row],[EMPLOYMENT]]="UNEMPLOYED", MASTER_TABLE[[#This Row],[actual order]], NA())</f>
        <v>404</v>
      </c>
    </row>
    <row r="461" spans="1:8" x14ac:dyDescent="0.25">
      <c r="A461" s="1">
        <v>41658</v>
      </c>
      <c r="B461">
        <v>15</v>
      </c>
      <c r="C461">
        <v>535</v>
      </c>
      <c r="D461" t="s">
        <v>21</v>
      </c>
      <c r="E461">
        <v>13</v>
      </c>
      <c r="F461" t="s">
        <v>3</v>
      </c>
      <c r="G461" s="4" t="e">
        <f>IF(MASTER_TABLE[[#This Row],[EMPLOYMENT]]="EMPLOYED", MASTER_TABLE[[#This Row],[actual order]],NA())</f>
        <v>#N/A</v>
      </c>
      <c r="H461" s="4">
        <f>IF(MASTER_TABLE[[#This Row],[EMPLOYMENT]]="UNEMPLOYED", MASTER_TABLE[[#This Row],[actual order]], NA())</f>
        <v>535</v>
      </c>
    </row>
    <row r="462" spans="1:8" x14ac:dyDescent="0.25">
      <c r="A462" s="1">
        <v>41661</v>
      </c>
      <c r="B462">
        <v>15</v>
      </c>
      <c r="C462">
        <v>448</v>
      </c>
      <c r="D462" t="s">
        <v>21</v>
      </c>
      <c r="E462">
        <v>13</v>
      </c>
      <c r="F462" t="s">
        <v>3</v>
      </c>
      <c r="G462" s="4" t="e">
        <f>IF(MASTER_TABLE[[#This Row],[EMPLOYMENT]]="EMPLOYED", MASTER_TABLE[[#This Row],[actual order]],NA())</f>
        <v>#N/A</v>
      </c>
      <c r="H462" s="4">
        <f>IF(MASTER_TABLE[[#This Row],[EMPLOYMENT]]="UNEMPLOYED", MASTER_TABLE[[#This Row],[actual order]], NA())</f>
        <v>448</v>
      </c>
    </row>
    <row r="463" spans="1:8" x14ac:dyDescent="0.25">
      <c r="A463" s="1">
        <v>41669</v>
      </c>
      <c r="B463">
        <v>15</v>
      </c>
      <c r="C463">
        <v>429</v>
      </c>
      <c r="D463" t="s">
        <v>21</v>
      </c>
      <c r="E463">
        <v>13</v>
      </c>
      <c r="F463" t="s">
        <v>3</v>
      </c>
      <c r="G463" s="4" t="e">
        <f>IF(MASTER_TABLE[[#This Row],[EMPLOYMENT]]="EMPLOYED", MASTER_TABLE[[#This Row],[actual order]],NA())</f>
        <v>#N/A</v>
      </c>
      <c r="H463" s="4">
        <f>IF(MASTER_TABLE[[#This Row],[EMPLOYMENT]]="UNEMPLOYED", MASTER_TABLE[[#This Row],[actual order]], NA())</f>
        <v>429</v>
      </c>
    </row>
    <row r="464" spans="1:8" x14ac:dyDescent="0.25">
      <c r="A464" s="1">
        <v>41670</v>
      </c>
      <c r="B464">
        <v>15</v>
      </c>
      <c r="C464">
        <v>480</v>
      </c>
      <c r="D464" t="s">
        <v>21</v>
      </c>
      <c r="E464">
        <v>13</v>
      </c>
      <c r="F464" t="s">
        <v>3</v>
      </c>
      <c r="G464" s="4" t="e">
        <f>IF(MASTER_TABLE[[#This Row],[EMPLOYMENT]]="EMPLOYED", MASTER_TABLE[[#This Row],[actual order]],NA())</f>
        <v>#N/A</v>
      </c>
      <c r="H464" s="4">
        <f>IF(MASTER_TABLE[[#This Row],[EMPLOYMENT]]="UNEMPLOYED", MASTER_TABLE[[#This Row],[actual order]], NA())</f>
        <v>480</v>
      </c>
    </row>
    <row r="465" spans="1:8" x14ac:dyDescent="0.25">
      <c r="A465" s="1">
        <v>41682</v>
      </c>
      <c r="B465">
        <v>15</v>
      </c>
      <c r="C465">
        <v>430</v>
      </c>
      <c r="D465" t="s">
        <v>21</v>
      </c>
      <c r="E465">
        <v>13</v>
      </c>
      <c r="F465" t="s">
        <v>3</v>
      </c>
      <c r="G465" s="4" t="e">
        <f>IF(MASTER_TABLE[[#This Row],[EMPLOYMENT]]="EMPLOYED", MASTER_TABLE[[#This Row],[actual order]],NA())</f>
        <v>#N/A</v>
      </c>
      <c r="H465" s="4">
        <f>IF(MASTER_TABLE[[#This Row],[EMPLOYMENT]]="UNEMPLOYED", MASTER_TABLE[[#This Row],[actual order]], NA())</f>
        <v>430</v>
      </c>
    </row>
    <row r="466" spans="1:8" x14ac:dyDescent="0.25">
      <c r="A466" s="1">
        <v>41683</v>
      </c>
      <c r="B466">
        <v>15</v>
      </c>
      <c r="C466">
        <v>407</v>
      </c>
      <c r="D466" t="s">
        <v>21</v>
      </c>
      <c r="E466">
        <v>13</v>
      </c>
      <c r="F466" t="s">
        <v>3</v>
      </c>
      <c r="G466" s="4" t="e">
        <f>IF(MASTER_TABLE[[#This Row],[EMPLOYMENT]]="EMPLOYED", MASTER_TABLE[[#This Row],[actual order]],NA())</f>
        <v>#N/A</v>
      </c>
      <c r="H466" s="4">
        <f>IF(MASTER_TABLE[[#This Row],[EMPLOYMENT]]="UNEMPLOYED", MASTER_TABLE[[#This Row],[actual order]], NA())</f>
        <v>407</v>
      </c>
    </row>
    <row r="467" spans="1:8" x14ac:dyDescent="0.25">
      <c r="A467" s="1">
        <v>41684</v>
      </c>
      <c r="B467">
        <v>15</v>
      </c>
      <c r="C467">
        <v>515</v>
      </c>
      <c r="D467" t="s">
        <v>21</v>
      </c>
      <c r="E467">
        <v>13</v>
      </c>
      <c r="F467" t="s">
        <v>3</v>
      </c>
      <c r="G467" s="4" t="e">
        <f>IF(MASTER_TABLE[[#This Row],[EMPLOYMENT]]="EMPLOYED", MASTER_TABLE[[#This Row],[actual order]],NA())</f>
        <v>#N/A</v>
      </c>
      <c r="H467" s="4">
        <f>IF(MASTER_TABLE[[#This Row],[EMPLOYMENT]]="UNEMPLOYED", MASTER_TABLE[[#This Row],[actual order]], NA())</f>
        <v>515</v>
      </c>
    </row>
    <row r="468" spans="1:8" x14ac:dyDescent="0.25">
      <c r="A468" s="1">
        <v>41685</v>
      </c>
      <c r="B468">
        <v>15</v>
      </c>
      <c r="C468">
        <v>422</v>
      </c>
      <c r="D468" t="s">
        <v>21</v>
      </c>
      <c r="E468">
        <v>13</v>
      </c>
      <c r="F468" t="s">
        <v>3</v>
      </c>
      <c r="G468" s="4" t="e">
        <f>IF(MASTER_TABLE[[#This Row],[EMPLOYMENT]]="EMPLOYED", MASTER_TABLE[[#This Row],[actual order]],NA())</f>
        <v>#N/A</v>
      </c>
      <c r="H468" s="4">
        <f>IF(MASTER_TABLE[[#This Row],[EMPLOYMENT]]="UNEMPLOYED", MASTER_TABLE[[#This Row],[actual order]], NA())</f>
        <v>422</v>
      </c>
    </row>
    <row r="469" spans="1:8" x14ac:dyDescent="0.25">
      <c r="A469" s="1">
        <v>41692</v>
      </c>
      <c r="B469">
        <v>15</v>
      </c>
      <c r="C469">
        <v>451</v>
      </c>
      <c r="D469" t="s">
        <v>21</v>
      </c>
      <c r="E469">
        <v>13</v>
      </c>
      <c r="F469" t="s">
        <v>3</v>
      </c>
      <c r="G469" s="4" t="e">
        <f>IF(MASTER_TABLE[[#This Row],[EMPLOYMENT]]="EMPLOYED", MASTER_TABLE[[#This Row],[actual order]],NA())</f>
        <v>#N/A</v>
      </c>
      <c r="H469" s="4">
        <f>IF(MASTER_TABLE[[#This Row],[EMPLOYMENT]]="UNEMPLOYED", MASTER_TABLE[[#This Row],[actual order]], NA())</f>
        <v>451</v>
      </c>
    </row>
    <row r="470" spans="1:8" x14ac:dyDescent="0.25">
      <c r="A470" s="1">
        <v>41696</v>
      </c>
      <c r="B470">
        <v>15</v>
      </c>
      <c r="C470">
        <v>469</v>
      </c>
      <c r="D470" t="s">
        <v>21</v>
      </c>
      <c r="E470">
        <v>13</v>
      </c>
      <c r="F470" t="s">
        <v>3</v>
      </c>
      <c r="G470" s="4" t="e">
        <f>IF(MASTER_TABLE[[#This Row],[EMPLOYMENT]]="EMPLOYED", MASTER_TABLE[[#This Row],[actual order]],NA())</f>
        <v>#N/A</v>
      </c>
      <c r="H470" s="4">
        <f>IF(MASTER_TABLE[[#This Row],[EMPLOYMENT]]="UNEMPLOYED", MASTER_TABLE[[#This Row],[actual order]], NA())</f>
        <v>469</v>
      </c>
    </row>
    <row r="471" spans="1:8" x14ac:dyDescent="0.25">
      <c r="A471" s="1">
        <v>41703</v>
      </c>
      <c r="B471">
        <v>15</v>
      </c>
      <c r="C471">
        <v>485</v>
      </c>
      <c r="D471" t="s">
        <v>21</v>
      </c>
      <c r="E471">
        <v>13</v>
      </c>
      <c r="F471" t="s">
        <v>3</v>
      </c>
      <c r="G471" s="4" t="e">
        <f>IF(MASTER_TABLE[[#This Row],[EMPLOYMENT]]="EMPLOYED", MASTER_TABLE[[#This Row],[actual order]],NA())</f>
        <v>#N/A</v>
      </c>
      <c r="H471" s="4">
        <f>IF(MASTER_TABLE[[#This Row],[EMPLOYMENT]]="UNEMPLOYED", MASTER_TABLE[[#This Row],[actual order]], NA())</f>
        <v>485</v>
      </c>
    </row>
    <row r="472" spans="1:8" x14ac:dyDescent="0.25">
      <c r="A472" s="1">
        <v>41712</v>
      </c>
      <c r="B472">
        <v>15</v>
      </c>
      <c r="C472">
        <v>500</v>
      </c>
      <c r="D472" t="s">
        <v>21</v>
      </c>
      <c r="E472">
        <v>13</v>
      </c>
      <c r="F472" t="s">
        <v>3</v>
      </c>
      <c r="G472" s="4" t="e">
        <f>IF(MASTER_TABLE[[#This Row],[EMPLOYMENT]]="EMPLOYED", MASTER_TABLE[[#This Row],[actual order]],NA())</f>
        <v>#N/A</v>
      </c>
      <c r="H472" s="4">
        <f>IF(MASTER_TABLE[[#This Row],[EMPLOYMENT]]="UNEMPLOYED", MASTER_TABLE[[#This Row],[actual order]], NA())</f>
        <v>500</v>
      </c>
    </row>
    <row r="473" spans="1:8" x14ac:dyDescent="0.25">
      <c r="A473" s="1">
        <v>41716</v>
      </c>
      <c r="B473">
        <v>15</v>
      </c>
      <c r="C473">
        <v>474</v>
      </c>
      <c r="D473" t="s">
        <v>21</v>
      </c>
      <c r="E473">
        <v>13</v>
      </c>
      <c r="F473" t="s">
        <v>3</v>
      </c>
      <c r="G473" s="4" t="e">
        <f>IF(MASTER_TABLE[[#This Row],[EMPLOYMENT]]="EMPLOYED", MASTER_TABLE[[#This Row],[actual order]],NA())</f>
        <v>#N/A</v>
      </c>
      <c r="H473" s="4">
        <f>IF(MASTER_TABLE[[#This Row],[EMPLOYMENT]]="UNEMPLOYED", MASTER_TABLE[[#This Row],[actual order]], NA())</f>
        <v>474</v>
      </c>
    </row>
    <row r="474" spans="1:8" x14ac:dyDescent="0.25">
      <c r="A474" s="1">
        <v>41725</v>
      </c>
      <c r="B474">
        <v>15</v>
      </c>
      <c r="C474">
        <v>417</v>
      </c>
      <c r="D474" t="s">
        <v>21</v>
      </c>
      <c r="E474">
        <v>13</v>
      </c>
      <c r="F474" t="s">
        <v>3</v>
      </c>
      <c r="G474" s="4" t="e">
        <f>IF(MASTER_TABLE[[#This Row],[EMPLOYMENT]]="EMPLOYED", MASTER_TABLE[[#This Row],[actual order]],NA())</f>
        <v>#N/A</v>
      </c>
      <c r="H474" s="4">
        <f>IF(MASTER_TABLE[[#This Row],[EMPLOYMENT]]="UNEMPLOYED", MASTER_TABLE[[#This Row],[actual order]], NA())</f>
        <v>417</v>
      </c>
    </row>
    <row r="475" spans="1:8" x14ac:dyDescent="0.25">
      <c r="A475" s="1">
        <v>41726</v>
      </c>
      <c r="B475">
        <v>15</v>
      </c>
      <c r="C475">
        <v>468</v>
      </c>
      <c r="D475" t="s">
        <v>21</v>
      </c>
      <c r="E475">
        <v>13</v>
      </c>
      <c r="F475" t="s">
        <v>3</v>
      </c>
      <c r="G475" s="4" t="e">
        <f>IF(MASTER_TABLE[[#This Row],[EMPLOYMENT]]="EMPLOYED", MASTER_TABLE[[#This Row],[actual order]],NA())</f>
        <v>#N/A</v>
      </c>
      <c r="H475" s="4">
        <f>IF(MASTER_TABLE[[#This Row],[EMPLOYMENT]]="UNEMPLOYED", MASTER_TABLE[[#This Row],[actual order]], NA())</f>
        <v>468</v>
      </c>
    </row>
    <row r="476" spans="1:8" x14ac:dyDescent="0.25">
      <c r="A476" s="1">
        <v>41726</v>
      </c>
      <c r="B476">
        <v>15</v>
      </c>
      <c r="C476">
        <v>470</v>
      </c>
      <c r="D476" t="s">
        <v>21</v>
      </c>
      <c r="E476">
        <v>13</v>
      </c>
      <c r="F476" t="s">
        <v>3</v>
      </c>
      <c r="G476" s="4" t="e">
        <f>IF(MASTER_TABLE[[#This Row],[EMPLOYMENT]]="EMPLOYED", MASTER_TABLE[[#This Row],[actual order]],NA())</f>
        <v>#N/A</v>
      </c>
      <c r="H476" s="4">
        <f>IF(MASTER_TABLE[[#This Row],[EMPLOYMENT]]="UNEMPLOYED", MASTER_TABLE[[#This Row],[actual order]], NA())</f>
        <v>470</v>
      </c>
    </row>
    <row r="477" spans="1:8" x14ac:dyDescent="0.25">
      <c r="A477" s="1">
        <v>41732</v>
      </c>
      <c r="B477">
        <v>15</v>
      </c>
      <c r="C477">
        <v>464</v>
      </c>
      <c r="D477" t="s">
        <v>21</v>
      </c>
      <c r="E477">
        <v>13</v>
      </c>
      <c r="F477" t="s">
        <v>3</v>
      </c>
      <c r="G477" s="4" t="e">
        <f>IF(MASTER_TABLE[[#This Row],[EMPLOYMENT]]="EMPLOYED", MASTER_TABLE[[#This Row],[actual order]],NA())</f>
        <v>#N/A</v>
      </c>
      <c r="H477" s="4">
        <f>IF(MASTER_TABLE[[#This Row],[EMPLOYMENT]]="UNEMPLOYED", MASTER_TABLE[[#This Row],[actual order]], NA())</f>
        <v>464</v>
      </c>
    </row>
    <row r="478" spans="1:8" x14ac:dyDescent="0.25">
      <c r="A478" s="1">
        <v>41736</v>
      </c>
      <c r="B478">
        <v>15</v>
      </c>
      <c r="C478">
        <v>488</v>
      </c>
      <c r="D478" t="s">
        <v>21</v>
      </c>
      <c r="E478">
        <v>13</v>
      </c>
      <c r="F478" t="s">
        <v>3</v>
      </c>
      <c r="G478" s="4" t="e">
        <f>IF(MASTER_TABLE[[#This Row],[EMPLOYMENT]]="EMPLOYED", MASTER_TABLE[[#This Row],[actual order]],NA())</f>
        <v>#N/A</v>
      </c>
      <c r="H478" s="4">
        <f>IF(MASTER_TABLE[[#This Row],[EMPLOYMENT]]="UNEMPLOYED", MASTER_TABLE[[#This Row],[actual order]], NA())</f>
        <v>488</v>
      </c>
    </row>
    <row r="479" spans="1:8" x14ac:dyDescent="0.25">
      <c r="A479" s="1">
        <v>41749</v>
      </c>
      <c r="B479">
        <v>15</v>
      </c>
      <c r="C479">
        <v>451</v>
      </c>
      <c r="D479" t="s">
        <v>21</v>
      </c>
      <c r="E479">
        <v>13</v>
      </c>
      <c r="F479" t="s">
        <v>3</v>
      </c>
      <c r="G479" s="4" t="e">
        <f>IF(MASTER_TABLE[[#This Row],[EMPLOYMENT]]="EMPLOYED", MASTER_TABLE[[#This Row],[actual order]],NA())</f>
        <v>#N/A</v>
      </c>
      <c r="H479" s="4">
        <f>IF(MASTER_TABLE[[#This Row],[EMPLOYMENT]]="UNEMPLOYED", MASTER_TABLE[[#This Row],[actual order]], NA())</f>
        <v>451</v>
      </c>
    </row>
    <row r="480" spans="1:8" x14ac:dyDescent="0.25">
      <c r="A480" s="1">
        <v>41751</v>
      </c>
      <c r="B480">
        <v>15</v>
      </c>
      <c r="C480">
        <v>490</v>
      </c>
      <c r="D480" t="s">
        <v>21</v>
      </c>
      <c r="E480">
        <v>13</v>
      </c>
      <c r="F480" t="s">
        <v>3</v>
      </c>
      <c r="G480" s="4" t="e">
        <f>IF(MASTER_TABLE[[#This Row],[EMPLOYMENT]]="EMPLOYED", MASTER_TABLE[[#This Row],[actual order]],NA())</f>
        <v>#N/A</v>
      </c>
      <c r="H480" s="4">
        <f>IF(MASTER_TABLE[[#This Row],[EMPLOYMENT]]="UNEMPLOYED", MASTER_TABLE[[#This Row],[actual order]], NA())</f>
        <v>490</v>
      </c>
    </row>
    <row r="481" spans="1:8" x14ac:dyDescent="0.25">
      <c r="A481" s="1">
        <v>41758</v>
      </c>
      <c r="B481">
        <v>15</v>
      </c>
      <c r="C481">
        <v>471</v>
      </c>
      <c r="D481" t="s">
        <v>21</v>
      </c>
      <c r="E481">
        <v>13</v>
      </c>
      <c r="F481" t="s">
        <v>3</v>
      </c>
      <c r="G481" s="4" t="e">
        <f>IF(MASTER_TABLE[[#This Row],[EMPLOYMENT]]="EMPLOYED", MASTER_TABLE[[#This Row],[actual order]],NA())</f>
        <v>#N/A</v>
      </c>
      <c r="H481" s="4">
        <f>IF(MASTER_TABLE[[#This Row],[EMPLOYMENT]]="UNEMPLOYED", MASTER_TABLE[[#This Row],[actual order]], NA())</f>
        <v>471</v>
      </c>
    </row>
    <row r="482" spans="1:8" x14ac:dyDescent="0.25">
      <c r="A482" s="1">
        <v>41759</v>
      </c>
      <c r="B482">
        <v>15</v>
      </c>
      <c r="C482">
        <v>440</v>
      </c>
      <c r="D482" t="s">
        <v>21</v>
      </c>
      <c r="E482">
        <v>13</v>
      </c>
      <c r="F482" t="s">
        <v>3</v>
      </c>
      <c r="G482" s="4" t="e">
        <f>IF(MASTER_TABLE[[#This Row],[EMPLOYMENT]]="EMPLOYED", MASTER_TABLE[[#This Row],[actual order]],NA())</f>
        <v>#N/A</v>
      </c>
      <c r="H482" s="4">
        <f>IF(MASTER_TABLE[[#This Row],[EMPLOYMENT]]="UNEMPLOYED", MASTER_TABLE[[#This Row],[actual order]], NA())</f>
        <v>440</v>
      </c>
    </row>
    <row r="483" spans="1:8" x14ac:dyDescent="0.25">
      <c r="A483" s="1">
        <v>41762</v>
      </c>
      <c r="B483">
        <v>15</v>
      </c>
      <c r="C483">
        <v>429</v>
      </c>
      <c r="D483" t="s">
        <v>21</v>
      </c>
      <c r="E483">
        <v>13</v>
      </c>
      <c r="F483" t="s">
        <v>3</v>
      </c>
      <c r="G483" s="4" t="e">
        <f>IF(MASTER_TABLE[[#This Row],[EMPLOYMENT]]="EMPLOYED", MASTER_TABLE[[#This Row],[actual order]],NA())</f>
        <v>#N/A</v>
      </c>
      <c r="H483" s="4">
        <f>IF(MASTER_TABLE[[#This Row],[EMPLOYMENT]]="UNEMPLOYED", MASTER_TABLE[[#This Row],[actual order]], NA())</f>
        <v>429</v>
      </c>
    </row>
    <row r="484" spans="1:8" x14ac:dyDescent="0.25">
      <c r="A484" s="1">
        <v>41771</v>
      </c>
      <c r="B484">
        <v>15</v>
      </c>
      <c r="C484">
        <v>467</v>
      </c>
      <c r="D484" t="s">
        <v>21</v>
      </c>
      <c r="E484">
        <v>13</v>
      </c>
      <c r="F484" t="s">
        <v>3</v>
      </c>
      <c r="G484" s="4" t="e">
        <f>IF(MASTER_TABLE[[#This Row],[EMPLOYMENT]]="EMPLOYED", MASTER_TABLE[[#This Row],[actual order]],NA())</f>
        <v>#N/A</v>
      </c>
      <c r="H484" s="4">
        <f>IF(MASTER_TABLE[[#This Row],[EMPLOYMENT]]="UNEMPLOYED", MASTER_TABLE[[#This Row],[actual order]], NA())</f>
        <v>467</v>
      </c>
    </row>
    <row r="485" spans="1:8" x14ac:dyDescent="0.25">
      <c r="A485" s="1">
        <v>41775</v>
      </c>
      <c r="B485">
        <v>15</v>
      </c>
      <c r="C485">
        <v>466</v>
      </c>
      <c r="D485" t="s">
        <v>21</v>
      </c>
      <c r="E485">
        <v>13</v>
      </c>
      <c r="F485" t="s">
        <v>3</v>
      </c>
      <c r="G485" s="4" t="e">
        <f>IF(MASTER_TABLE[[#This Row],[EMPLOYMENT]]="EMPLOYED", MASTER_TABLE[[#This Row],[actual order]],NA())</f>
        <v>#N/A</v>
      </c>
      <c r="H485" s="4">
        <f>IF(MASTER_TABLE[[#This Row],[EMPLOYMENT]]="UNEMPLOYED", MASTER_TABLE[[#This Row],[actual order]], NA())</f>
        <v>466</v>
      </c>
    </row>
    <row r="486" spans="1:8" x14ac:dyDescent="0.25">
      <c r="A486" s="1">
        <v>41783</v>
      </c>
      <c r="B486">
        <v>15</v>
      </c>
      <c r="C486">
        <v>453</v>
      </c>
      <c r="D486" t="s">
        <v>21</v>
      </c>
      <c r="E486">
        <v>13</v>
      </c>
      <c r="F486" t="s">
        <v>3</v>
      </c>
      <c r="G486" s="4" t="e">
        <f>IF(MASTER_TABLE[[#This Row],[EMPLOYMENT]]="EMPLOYED", MASTER_TABLE[[#This Row],[actual order]],NA())</f>
        <v>#N/A</v>
      </c>
      <c r="H486" s="4">
        <f>IF(MASTER_TABLE[[#This Row],[EMPLOYMENT]]="UNEMPLOYED", MASTER_TABLE[[#This Row],[actual order]], NA())</f>
        <v>453</v>
      </c>
    </row>
    <row r="487" spans="1:8" x14ac:dyDescent="0.25">
      <c r="A487" s="1">
        <v>41790</v>
      </c>
      <c r="B487">
        <v>15</v>
      </c>
      <c r="C487">
        <v>456</v>
      </c>
      <c r="D487" t="s">
        <v>21</v>
      </c>
      <c r="E487">
        <v>13</v>
      </c>
      <c r="F487" t="s">
        <v>3</v>
      </c>
      <c r="G487" s="4" t="e">
        <f>IF(MASTER_TABLE[[#This Row],[EMPLOYMENT]]="EMPLOYED", MASTER_TABLE[[#This Row],[actual order]],NA())</f>
        <v>#N/A</v>
      </c>
      <c r="H487" s="4">
        <f>IF(MASTER_TABLE[[#This Row],[EMPLOYMENT]]="UNEMPLOYED", MASTER_TABLE[[#This Row],[actual order]], NA())</f>
        <v>456</v>
      </c>
    </row>
    <row r="488" spans="1:8" x14ac:dyDescent="0.25">
      <c r="A488" s="1">
        <v>41793</v>
      </c>
      <c r="B488">
        <v>15</v>
      </c>
      <c r="C488">
        <v>471</v>
      </c>
      <c r="D488" t="s">
        <v>21</v>
      </c>
      <c r="E488">
        <v>13</v>
      </c>
      <c r="F488" t="s">
        <v>3</v>
      </c>
      <c r="G488" s="4" t="e">
        <f>IF(MASTER_TABLE[[#This Row],[EMPLOYMENT]]="EMPLOYED", MASTER_TABLE[[#This Row],[actual order]],NA())</f>
        <v>#N/A</v>
      </c>
      <c r="H488" s="4">
        <f>IF(MASTER_TABLE[[#This Row],[EMPLOYMENT]]="UNEMPLOYED", MASTER_TABLE[[#This Row],[actual order]], NA())</f>
        <v>471</v>
      </c>
    </row>
    <row r="489" spans="1:8" x14ac:dyDescent="0.25">
      <c r="A489" s="1">
        <v>41795</v>
      </c>
      <c r="B489">
        <v>15</v>
      </c>
      <c r="C489">
        <v>443</v>
      </c>
      <c r="D489" t="s">
        <v>21</v>
      </c>
      <c r="E489">
        <v>13</v>
      </c>
      <c r="F489" t="s">
        <v>3</v>
      </c>
      <c r="G489" s="4" t="e">
        <f>IF(MASTER_TABLE[[#This Row],[EMPLOYMENT]]="EMPLOYED", MASTER_TABLE[[#This Row],[actual order]],NA())</f>
        <v>#N/A</v>
      </c>
      <c r="H489" s="4">
        <f>IF(MASTER_TABLE[[#This Row],[EMPLOYMENT]]="UNEMPLOYED", MASTER_TABLE[[#This Row],[actual order]], NA())</f>
        <v>443</v>
      </c>
    </row>
    <row r="490" spans="1:8" x14ac:dyDescent="0.25">
      <c r="A490" s="1">
        <v>41802</v>
      </c>
      <c r="B490">
        <v>15</v>
      </c>
      <c r="C490">
        <v>500</v>
      </c>
      <c r="D490" t="s">
        <v>21</v>
      </c>
      <c r="E490">
        <v>13</v>
      </c>
      <c r="F490" t="s">
        <v>3</v>
      </c>
      <c r="G490" s="4" t="e">
        <f>IF(MASTER_TABLE[[#This Row],[EMPLOYMENT]]="EMPLOYED", MASTER_TABLE[[#This Row],[actual order]],NA())</f>
        <v>#N/A</v>
      </c>
      <c r="H490" s="4">
        <f>IF(MASTER_TABLE[[#This Row],[EMPLOYMENT]]="UNEMPLOYED", MASTER_TABLE[[#This Row],[actual order]], NA())</f>
        <v>500</v>
      </c>
    </row>
    <row r="491" spans="1:8" x14ac:dyDescent="0.25">
      <c r="A491" s="1">
        <v>41803</v>
      </c>
      <c r="B491">
        <v>15</v>
      </c>
      <c r="C491">
        <v>472</v>
      </c>
      <c r="D491" t="s">
        <v>21</v>
      </c>
      <c r="E491">
        <v>13</v>
      </c>
      <c r="F491" t="s">
        <v>3</v>
      </c>
      <c r="G491" s="4" t="e">
        <f>IF(MASTER_TABLE[[#This Row],[EMPLOYMENT]]="EMPLOYED", MASTER_TABLE[[#This Row],[actual order]],NA())</f>
        <v>#N/A</v>
      </c>
      <c r="H491" s="4">
        <f>IF(MASTER_TABLE[[#This Row],[EMPLOYMENT]]="UNEMPLOYED", MASTER_TABLE[[#This Row],[actual order]], NA())</f>
        <v>472</v>
      </c>
    </row>
    <row r="492" spans="1:8" x14ac:dyDescent="0.25">
      <c r="A492" s="1">
        <v>41806</v>
      </c>
      <c r="B492">
        <v>15</v>
      </c>
      <c r="C492">
        <v>468</v>
      </c>
      <c r="D492" t="s">
        <v>21</v>
      </c>
      <c r="E492">
        <v>13</v>
      </c>
      <c r="F492" t="s">
        <v>3</v>
      </c>
      <c r="G492" s="4" t="e">
        <f>IF(MASTER_TABLE[[#This Row],[EMPLOYMENT]]="EMPLOYED", MASTER_TABLE[[#This Row],[actual order]],NA())</f>
        <v>#N/A</v>
      </c>
      <c r="H492" s="4">
        <f>IF(MASTER_TABLE[[#This Row],[EMPLOYMENT]]="UNEMPLOYED", MASTER_TABLE[[#This Row],[actual order]], NA())</f>
        <v>468</v>
      </c>
    </row>
    <row r="493" spans="1:8" x14ac:dyDescent="0.25">
      <c r="A493" s="1">
        <v>41631</v>
      </c>
      <c r="B493">
        <v>16</v>
      </c>
      <c r="C493">
        <v>334</v>
      </c>
      <c r="D493" t="s">
        <v>21</v>
      </c>
      <c r="E493">
        <v>1</v>
      </c>
      <c r="F493" t="s">
        <v>2</v>
      </c>
      <c r="G493" s="4" t="e">
        <f>IF(MASTER_TABLE[[#This Row],[EMPLOYMENT]]="EMPLOYED", MASTER_TABLE[[#This Row],[actual order]],NA())</f>
        <v>#N/A</v>
      </c>
      <c r="H493" s="4">
        <f>IF(MASTER_TABLE[[#This Row],[EMPLOYMENT]]="UNEMPLOYED", MASTER_TABLE[[#This Row],[actual order]], NA())</f>
        <v>334</v>
      </c>
    </row>
    <row r="494" spans="1:8" x14ac:dyDescent="0.25">
      <c r="A494" s="1">
        <v>41683</v>
      </c>
      <c r="B494">
        <v>16</v>
      </c>
      <c r="C494">
        <v>343</v>
      </c>
      <c r="D494" t="s">
        <v>21</v>
      </c>
      <c r="E494">
        <v>1</v>
      </c>
      <c r="F494" t="s">
        <v>2</v>
      </c>
      <c r="G494" s="4" t="e">
        <f>IF(MASTER_TABLE[[#This Row],[EMPLOYMENT]]="EMPLOYED", MASTER_TABLE[[#This Row],[actual order]],NA())</f>
        <v>#N/A</v>
      </c>
      <c r="H494" s="4">
        <f>IF(MASTER_TABLE[[#This Row],[EMPLOYMENT]]="UNEMPLOYED", MASTER_TABLE[[#This Row],[actual order]], NA())</f>
        <v>343</v>
      </c>
    </row>
    <row r="495" spans="1:8" x14ac:dyDescent="0.25">
      <c r="A495" s="1">
        <v>41686</v>
      </c>
      <c r="B495">
        <v>16</v>
      </c>
      <c r="C495">
        <v>288</v>
      </c>
      <c r="D495" t="s">
        <v>21</v>
      </c>
      <c r="E495">
        <v>1</v>
      </c>
      <c r="F495" t="s">
        <v>2</v>
      </c>
      <c r="G495" s="4" t="e">
        <f>IF(MASTER_TABLE[[#This Row],[EMPLOYMENT]]="EMPLOYED", MASTER_TABLE[[#This Row],[actual order]],NA())</f>
        <v>#N/A</v>
      </c>
      <c r="H495" s="4">
        <f>IF(MASTER_TABLE[[#This Row],[EMPLOYMENT]]="UNEMPLOYED", MASTER_TABLE[[#This Row],[actual order]], NA())</f>
        <v>288</v>
      </c>
    </row>
    <row r="496" spans="1:8" x14ac:dyDescent="0.25">
      <c r="A496" s="1">
        <v>41692</v>
      </c>
      <c r="B496">
        <v>16</v>
      </c>
      <c r="C496">
        <v>292</v>
      </c>
      <c r="D496" t="s">
        <v>21</v>
      </c>
      <c r="E496">
        <v>1</v>
      </c>
      <c r="F496" t="s">
        <v>2</v>
      </c>
      <c r="G496" s="4" t="e">
        <f>IF(MASTER_TABLE[[#This Row],[EMPLOYMENT]]="EMPLOYED", MASTER_TABLE[[#This Row],[actual order]],NA())</f>
        <v>#N/A</v>
      </c>
      <c r="H496" s="4">
        <f>IF(MASTER_TABLE[[#This Row],[EMPLOYMENT]]="UNEMPLOYED", MASTER_TABLE[[#This Row],[actual order]], NA())</f>
        <v>292</v>
      </c>
    </row>
    <row r="497" spans="1:8" x14ac:dyDescent="0.25">
      <c r="A497" s="1">
        <v>41714</v>
      </c>
      <c r="B497">
        <v>16</v>
      </c>
      <c r="C497">
        <v>304</v>
      </c>
      <c r="D497" t="s">
        <v>21</v>
      </c>
      <c r="E497">
        <v>1</v>
      </c>
      <c r="F497" t="s">
        <v>2</v>
      </c>
      <c r="G497" s="4" t="e">
        <f>IF(MASTER_TABLE[[#This Row],[EMPLOYMENT]]="EMPLOYED", MASTER_TABLE[[#This Row],[actual order]],NA())</f>
        <v>#N/A</v>
      </c>
      <c r="H497" s="4">
        <f>IF(MASTER_TABLE[[#This Row],[EMPLOYMENT]]="UNEMPLOYED", MASTER_TABLE[[#This Row],[actual order]], NA())</f>
        <v>304</v>
      </c>
    </row>
    <row r="498" spans="1:8" x14ac:dyDescent="0.25">
      <c r="A498" s="1">
        <v>41719</v>
      </c>
      <c r="B498">
        <v>16</v>
      </c>
      <c r="C498">
        <v>310</v>
      </c>
      <c r="D498" t="s">
        <v>21</v>
      </c>
      <c r="E498">
        <v>1</v>
      </c>
      <c r="F498" t="s">
        <v>2</v>
      </c>
      <c r="G498" s="4" t="e">
        <f>IF(MASTER_TABLE[[#This Row],[EMPLOYMENT]]="EMPLOYED", MASTER_TABLE[[#This Row],[actual order]],NA())</f>
        <v>#N/A</v>
      </c>
      <c r="H498" s="4">
        <f>IF(MASTER_TABLE[[#This Row],[EMPLOYMENT]]="UNEMPLOYED", MASTER_TABLE[[#This Row],[actual order]], NA())</f>
        <v>310</v>
      </c>
    </row>
    <row r="499" spans="1:8" x14ac:dyDescent="0.25">
      <c r="A499" s="1">
        <v>41721</v>
      </c>
      <c r="B499">
        <v>16</v>
      </c>
      <c r="C499">
        <v>330</v>
      </c>
      <c r="D499" t="s">
        <v>21</v>
      </c>
      <c r="E499">
        <v>1</v>
      </c>
      <c r="F499" t="s">
        <v>2</v>
      </c>
      <c r="G499" s="4" t="e">
        <f>IF(MASTER_TABLE[[#This Row],[EMPLOYMENT]]="EMPLOYED", MASTER_TABLE[[#This Row],[actual order]],NA())</f>
        <v>#N/A</v>
      </c>
      <c r="H499" s="4">
        <f>IF(MASTER_TABLE[[#This Row],[EMPLOYMENT]]="UNEMPLOYED", MASTER_TABLE[[#This Row],[actual order]], NA())</f>
        <v>330</v>
      </c>
    </row>
    <row r="500" spans="1:8" x14ac:dyDescent="0.25">
      <c r="A500" s="1">
        <v>41729</v>
      </c>
      <c r="B500">
        <v>16</v>
      </c>
      <c r="C500">
        <v>318</v>
      </c>
      <c r="D500" t="s">
        <v>21</v>
      </c>
      <c r="E500">
        <v>1</v>
      </c>
      <c r="F500" t="s">
        <v>2</v>
      </c>
      <c r="G500" s="4" t="e">
        <f>IF(MASTER_TABLE[[#This Row],[EMPLOYMENT]]="EMPLOYED", MASTER_TABLE[[#This Row],[actual order]],NA())</f>
        <v>#N/A</v>
      </c>
      <c r="H500" s="4">
        <f>IF(MASTER_TABLE[[#This Row],[EMPLOYMENT]]="UNEMPLOYED", MASTER_TABLE[[#This Row],[actual order]], NA())</f>
        <v>318</v>
      </c>
    </row>
    <row r="501" spans="1:8" x14ac:dyDescent="0.25">
      <c r="A501" s="1">
        <v>41731</v>
      </c>
      <c r="B501">
        <v>16</v>
      </c>
      <c r="C501">
        <v>353</v>
      </c>
      <c r="D501" t="s">
        <v>21</v>
      </c>
      <c r="E501">
        <v>1</v>
      </c>
      <c r="F501" t="s">
        <v>2</v>
      </c>
      <c r="G501" s="4" t="e">
        <f>IF(MASTER_TABLE[[#This Row],[EMPLOYMENT]]="EMPLOYED", MASTER_TABLE[[#This Row],[actual order]],NA())</f>
        <v>#N/A</v>
      </c>
      <c r="H501" s="4">
        <f>IF(MASTER_TABLE[[#This Row],[EMPLOYMENT]]="UNEMPLOYED", MASTER_TABLE[[#This Row],[actual order]], NA())</f>
        <v>353</v>
      </c>
    </row>
    <row r="502" spans="1:8" x14ac:dyDescent="0.25">
      <c r="A502" s="1">
        <v>41741</v>
      </c>
      <c r="B502">
        <v>16</v>
      </c>
      <c r="C502">
        <v>306</v>
      </c>
      <c r="D502" t="s">
        <v>21</v>
      </c>
      <c r="E502">
        <v>1</v>
      </c>
      <c r="F502" t="s">
        <v>2</v>
      </c>
      <c r="G502" s="4" t="e">
        <f>IF(MASTER_TABLE[[#This Row],[EMPLOYMENT]]="EMPLOYED", MASTER_TABLE[[#This Row],[actual order]],NA())</f>
        <v>#N/A</v>
      </c>
      <c r="H502" s="4">
        <f>IF(MASTER_TABLE[[#This Row],[EMPLOYMENT]]="UNEMPLOYED", MASTER_TABLE[[#This Row],[actual order]], NA())</f>
        <v>306</v>
      </c>
    </row>
    <row r="503" spans="1:8" x14ac:dyDescent="0.25">
      <c r="A503" s="1">
        <v>41745</v>
      </c>
      <c r="B503">
        <v>16</v>
      </c>
      <c r="C503">
        <v>352</v>
      </c>
      <c r="D503" t="s">
        <v>21</v>
      </c>
      <c r="E503">
        <v>1</v>
      </c>
      <c r="F503" t="s">
        <v>2</v>
      </c>
      <c r="G503" s="4" t="e">
        <f>IF(MASTER_TABLE[[#This Row],[EMPLOYMENT]]="EMPLOYED", MASTER_TABLE[[#This Row],[actual order]],NA())</f>
        <v>#N/A</v>
      </c>
      <c r="H503" s="4">
        <f>IF(MASTER_TABLE[[#This Row],[EMPLOYMENT]]="UNEMPLOYED", MASTER_TABLE[[#This Row],[actual order]], NA())</f>
        <v>352</v>
      </c>
    </row>
    <row r="504" spans="1:8" x14ac:dyDescent="0.25">
      <c r="A504" s="1">
        <v>41750</v>
      </c>
      <c r="B504">
        <v>16</v>
      </c>
      <c r="C504">
        <v>315</v>
      </c>
      <c r="D504" t="s">
        <v>21</v>
      </c>
      <c r="E504">
        <v>1</v>
      </c>
      <c r="F504" t="s">
        <v>2</v>
      </c>
      <c r="G504" s="4" t="e">
        <f>IF(MASTER_TABLE[[#This Row],[EMPLOYMENT]]="EMPLOYED", MASTER_TABLE[[#This Row],[actual order]],NA())</f>
        <v>#N/A</v>
      </c>
      <c r="H504" s="4">
        <f>IF(MASTER_TABLE[[#This Row],[EMPLOYMENT]]="UNEMPLOYED", MASTER_TABLE[[#This Row],[actual order]], NA())</f>
        <v>315</v>
      </c>
    </row>
    <row r="505" spans="1:8" x14ac:dyDescent="0.25">
      <c r="A505" s="1">
        <v>41770</v>
      </c>
      <c r="B505">
        <v>16</v>
      </c>
      <c r="C505">
        <v>333</v>
      </c>
      <c r="D505" t="s">
        <v>21</v>
      </c>
      <c r="E505">
        <v>1</v>
      </c>
      <c r="F505" t="s">
        <v>2</v>
      </c>
      <c r="G505" s="4" t="e">
        <f>IF(MASTER_TABLE[[#This Row],[EMPLOYMENT]]="EMPLOYED", MASTER_TABLE[[#This Row],[actual order]],NA())</f>
        <v>#N/A</v>
      </c>
      <c r="H505" s="4">
        <f>IF(MASTER_TABLE[[#This Row],[EMPLOYMENT]]="UNEMPLOYED", MASTER_TABLE[[#This Row],[actual order]], NA())</f>
        <v>333</v>
      </c>
    </row>
    <row r="506" spans="1:8" x14ac:dyDescent="0.25">
      <c r="A506" s="1">
        <v>41774</v>
      </c>
      <c r="B506">
        <v>16</v>
      </c>
      <c r="C506">
        <v>342</v>
      </c>
      <c r="D506" t="s">
        <v>21</v>
      </c>
      <c r="E506">
        <v>1</v>
      </c>
      <c r="F506" t="s">
        <v>2</v>
      </c>
      <c r="G506" s="4" t="e">
        <f>IF(MASTER_TABLE[[#This Row],[EMPLOYMENT]]="EMPLOYED", MASTER_TABLE[[#This Row],[actual order]],NA())</f>
        <v>#N/A</v>
      </c>
      <c r="H506" s="4">
        <f>IF(MASTER_TABLE[[#This Row],[EMPLOYMENT]]="UNEMPLOYED", MASTER_TABLE[[#This Row],[actual order]], NA())</f>
        <v>342</v>
      </c>
    </row>
    <row r="507" spans="1:8" x14ac:dyDescent="0.25">
      <c r="A507" s="1">
        <v>41811</v>
      </c>
      <c r="B507">
        <v>16</v>
      </c>
      <c r="C507">
        <v>301</v>
      </c>
      <c r="D507" t="s">
        <v>21</v>
      </c>
      <c r="E507">
        <v>1</v>
      </c>
      <c r="F507" t="s">
        <v>2</v>
      </c>
      <c r="G507" s="4" t="e">
        <f>IF(MASTER_TABLE[[#This Row],[EMPLOYMENT]]="EMPLOYED", MASTER_TABLE[[#This Row],[actual order]],NA())</f>
        <v>#N/A</v>
      </c>
      <c r="H507" s="4">
        <f>IF(MASTER_TABLE[[#This Row],[EMPLOYMENT]]="UNEMPLOYED", MASTER_TABLE[[#This Row],[actual order]], NA())</f>
        <v>301</v>
      </c>
    </row>
    <row r="508" spans="1:8" x14ac:dyDescent="0.25">
      <c r="A508" s="1">
        <v>41816</v>
      </c>
      <c r="B508">
        <v>16</v>
      </c>
      <c r="C508">
        <v>302</v>
      </c>
      <c r="D508" t="s">
        <v>21</v>
      </c>
      <c r="E508">
        <v>1</v>
      </c>
      <c r="F508" t="s">
        <v>2</v>
      </c>
      <c r="G508" s="4" t="e">
        <f>IF(MASTER_TABLE[[#This Row],[EMPLOYMENT]]="EMPLOYED", MASTER_TABLE[[#This Row],[actual order]],NA())</f>
        <v>#N/A</v>
      </c>
      <c r="H508" s="4">
        <f>IF(MASTER_TABLE[[#This Row],[EMPLOYMENT]]="UNEMPLOYED", MASTER_TABLE[[#This Row],[actual order]], NA())</f>
        <v>302</v>
      </c>
    </row>
    <row r="509" spans="1:8" x14ac:dyDescent="0.25">
      <c r="A509" s="1">
        <v>41619</v>
      </c>
      <c r="B509">
        <v>17</v>
      </c>
      <c r="C509">
        <v>412</v>
      </c>
      <c r="D509" t="s">
        <v>21</v>
      </c>
      <c r="E509">
        <v>6</v>
      </c>
      <c r="F509" t="s">
        <v>2</v>
      </c>
      <c r="G509" s="4" t="e">
        <f>IF(MASTER_TABLE[[#This Row],[EMPLOYMENT]]="EMPLOYED", MASTER_TABLE[[#This Row],[actual order]],NA())</f>
        <v>#N/A</v>
      </c>
      <c r="H509" s="4">
        <f>IF(MASTER_TABLE[[#This Row],[EMPLOYMENT]]="UNEMPLOYED", MASTER_TABLE[[#This Row],[actual order]], NA())</f>
        <v>412</v>
      </c>
    </row>
    <row r="510" spans="1:8" x14ac:dyDescent="0.25">
      <c r="A510" s="1">
        <v>41638</v>
      </c>
      <c r="B510">
        <v>17</v>
      </c>
      <c r="C510">
        <v>513</v>
      </c>
      <c r="D510" t="s">
        <v>21</v>
      </c>
      <c r="E510">
        <v>6</v>
      </c>
      <c r="F510" t="s">
        <v>2</v>
      </c>
      <c r="G510" s="4" t="e">
        <f>IF(MASTER_TABLE[[#This Row],[EMPLOYMENT]]="EMPLOYED", MASTER_TABLE[[#This Row],[actual order]],NA())</f>
        <v>#N/A</v>
      </c>
      <c r="H510" s="4">
        <f>IF(MASTER_TABLE[[#This Row],[EMPLOYMENT]]="UNEMPLOYED", MASTER_TABLE[[#This Row],[actual order]], NA())</f>
        <v>513</v>
      </c>
    </row>
    <row r="511" spans="1:8" x14ac:dyDescent="0.25">
      <c r="A511" s="1">
        <v>41640</v>
      </c>
      <c r="B511">
        <v>17</v>
      </c>
      <c r="C511">
        <v>504</v>
      </c>
      <c r="D511" t="s">
        <v>21</v>
      </c>
      <c r="E511">
        <v>6</v>
      </c>
      <c r="F511" t="s">
        <v>2</v>
      </c>
      <c r="G511" s="4" t="e">
        <f>IF(MASTER_TABLE[[#This Row],[EMPLOYMENT]]="EMPLOYED", MASTER_TABLE[[#This Row],[actual order]],NA())</f>
        <v>#N/A</v>
      </c>
      <c r="H511" s="4">
        <f>IF(MASTER_TABLE[[#This Row],[EMPLOYMENT]]="UNEMPLOYED", MASTER_TABLE[[#This Row],[actual order]], NA())</f>
        <v>504</v>
      </c>
    </row>
    <row r="512" spans="1:8" x14ac:dyDescent="0.25">
      <c r="A512" s="1">
        <v>41664</v>
      </c>
      <c r="B512">
        <v>17</v>
      </c>
      <c r="C512">
        <v>487</v>
      </c>
      <c r="D512" t="s">
        <v>21</v>
      </c>
      <c r="E512">
        <v>6</v>
      </c>
      <c r="F512" t="s">
        <v>2</v>
      </c>
      <c r="G512" s="4" t="e">
        <f>IF(MASTER_TABLE[[#This Row],[EMPLOYMENT]]="EMPLOYED", MASTER_TABLE[[#This Row],[actual order]],NA())</f>
        <v>#N/A</v>
      </c>
      <c r="H512" s="4">
        <f>IF(MASTER_TABLE[[#This Row],[EMPLOYMENT]]="UNEMPLOYED", MASTER_TABLE[[#This Row],[actual order]], NA())</f>
        <v>487</v>
      </c>
    </row>
    <row r="513" spans="1:8" x14ac:dyDescent="0.25">
      <c r="A513" s="1">
        <v>41687</v>
      </c>
      <c r="B513">
        <v>17</v>
      </c>
      <c r="C513">
        <v>509</v>
      </c>
      <c r="D513" t="s">
        <v>21</v>
      </c>
      <c r="E513">
        <v>6</v>
      </c>
      <c r="F513" t="s">
        <v>2</v>
      </c>
      <c r="G513" s="4" t="e">
        <f>IF(MASTER_TABLE[[#This Row],[EMPLOYMENT]]="EMPLOYED", MASTER_TABLE[[#This Row],[actual order]],NA())</f>
        <v>#N/A</v>
      </c>
      <c r="H513" s="4">
        <f>IF(MASTER_TABLE[[#This Row],[EMPLOYMENT]]="UNEMPLOYED", MASTER_TABLE[[#This Row],[actual order]], NA())</f>
        <v>509</v>
      </c>
    </row>
    <row r="514" spans="1:8" x14ac:dyDescent="0.25">
      <c r="A514" s="1">
        <v>41692</v>
      </c>
      <c r="B514">
        <v>17</v>
      </c>
      <c r="C514">
        <v>437</v>
      </c>
      <c r="D514" t="s">
        <v>21</v>
      </c>
      <c r="E514">
        <v>6</v>
      </c>
      <c r="F514" t="s">
        <v>2</v>
      </c>
      <c r="G514" s="4" t="e">
        <f>IF(MASTER_TABLE[[#This Row],[EMPLOYMENT]]="EMPLOYED", MASTER_TABLE[[#This Row],[actual order]],NA())</f>
        <v>#N/A</v>
      </c>
      <c r="H514" s="4">
        <f>IF(MASTER_TABLE[[#This Row],[EMPLOYMENT]]="UNEMPLOYED", MASTER_TABLE[[#This Row],[actual order]], NA())</f>
        <v>437</v>
      </c>
    </row>
    <row r="515" spans="1:8" x14ac:dyDescent="0.25">
      <c r="A515" s="1">
        <v>41708</v>
      </c>
      <c r="B515">
        <v>17</v>
      </c>
      <c r="C515">
        <v>416</v>
      </c>
      <c r="D515" t="s">
        <v>21</v>
      </c>
      <c r="E515">
        <v>6</v>
      </c>
      <c r="F515" t="s">
        <v>2</v>
      </c>
      <c r="G515" s="4" t="e">
        <f>IF(MASTER_TABLE[[#This Row],[EMPLOYMENT]]="EMPLOYED", MASTER_TABLE[[#This Row],[actual order]],NA())</f>
        <v>#N/A</v>
      </c>
      <c r="H515" s="4">
        <f>IF(MASTER_TABLE[[#This Row],[EMPLOYMENT]]="UNEMPLOYED", MASTER_TABLE[[#This Row],[actual order]], NA())</f>
        <v>416</v>
      </c>
    </row>
    <row r="516" spans="1:8" x14ac:dyDescent="0.25">
      <c r="A516" s="1">
        <v>41709</v>
      </c>
      <c r="B516">
        <v>17</v>
      </c>
      <c r="C516">
        <v>488</v>
      </c>
      <c r="D516" t="s">
        <v>21</v>
      </c>
      <c r="E516">
        <v>6</v>
      </c>
      <c r="F516" t="s">
        <v>2</v>
      </c>
      <c r="G516" s="4" t="e">
        <f>IF(MASTER_TABLE[[#This Row],[EMPLOYMENT]]="EMPLOYED", MASTER_TABLE[[#This Row],[actual order]],NA())</f>
        <v>#N/A</v>
      </c>
      <c r="H516" s="4">
        <f>IF(MASTER_TABLE[[#This Row],[EMPLOYMENT]]="UNEMPLOYED", MASTER_TABLE[[#This Row],[actual order]], NA())</f>
        <v>488</v>
      </c>
    </row>
    <row r="517" spans="1:8" x14ac:dyDescent="0.25">
      <c r="A517" s="1">
        <v>41717</v>
      </c>
      <c r="B517">
        <v>17</v>
      </c>
      <c r="C517">
        <v>489</v>
      </c>
      <c r="D517" t="s">
        <v>21</v>
      </c>
      <c r="E517">
        <v>6</v>
      </c>
      <c r="F517" t="s">
        <v>2</v>
      </c>
      <c r="G517" s="4" t="e">
        <f>IF(MASTER_TABLE[[#This Row],[EMPLOYMENT]]="EMPLOYED", MASTER_TABLE[[#This Row],[actual order]],NA())</f>
        <v>#N/A</v>
      </c>
      <c r="H517" s="4">
        <f>IF(MASTER_TABLE[[#This Row],[EMPLOYMENT]]="UNEMPLOYED", MASTER_TABLE[[#This Row],[actual order]], NA())</f>
        <v>489</v>
      </c>
    </row>
    <row r="518" spans="1:8" x14ac:dyDescent="0.25">
      <c r="A518" s="1">
        <v>41719</v>
      </c>
      <c r="B518">
        <v>17</v>
      </c>
      <c r="C518">
        <v>447</v>
      </c>
      <c r="D518" t="s">
        <v>21</v>
      </c>
      <c r="E518">
        <v>6</v>
      </c>
      <c r="F518" t="s">
        <v>2</v>
      </c>
      <c r="G518" s="4" t="e">
        <f>IF(MASTER_TABLE[[#This Row],[EMPLOYMENT]]="EMPLOYED", MASTER_TABLE[[#This Row],[actual order]],NA())</f>
        <v>#N/A</v>
      </c>
      <c r="H518" s="4">
        <f>IF(MASTER_TABLE[[#This Row],[EMPLOYMENT]]="UNEMPLOYED", MASTER_TABLE[[#This Row],[actual order]], NA())</f>
        <v>447</v>
      </c>
    </row>
    <row r="519" spans="1:8" x14ac:dyDescent="0.25">
      <c r="A519" s="1">
        <v>41734</v>
      </c>
      <c r="B519">
        <v>17</v>
      </c>
      <c r="C519">
        <v>422</v>
      </c>
      <c r="D519" t="s">
        <v>21</v>
      </c>
      <c r="E519">
        <v>6</v>
      </c>
      <c r="F519" t="s">
        <v>2</v>
      </c>
      <c r="G519" s="4" t="e">
        <f>IF(MASTER_TABLE[[#This Row],[EMPLOYMENT]]="EMPLOYED", MASTER_TABLE[[#This Row],[actual order]],NA())</f>
        <v>#N/A</v>
      </c>
      <c r="H519" s="4">
        <f>IF(MASTER_TABLE[[#This Row],[EMPLOYMENT]]="UNEMPLOYED", MASTER_TABLE[[#This Row],[actual order]], NA())</f>
        <v>422</v>
      </c>
    </row>
    <row r="520" spans="1:8" x14ac:dyDescent="0.25">
      <c r="A520" s="1">
        <v>41739</v>
      </c>
      <c r="B520">
        <v>17</v>
      </c>
      <c r="C520">
        <v>500</v>
      </c>
      <c r="D520" t="s">
        <v>21</v>
      </c>
      <c r="E520">
        <v>6</v>
      </c>
      <c r="F520" t="s">
        <v>2</v>
      </c>
      <c r="G520" s="4" t="e">
        <f>IF(MASTER_TABLE[[#This Row],[EMPLOYMENT]]="EMPLOYED", MASTER_TABLE[[#This Row],[actual order]],NA())</f>
        <v>#N/A</v>
      </c>
      <c r="H520" s="4">
        <f>IF(MASTER_TABLE[[#This Row],[EMPLOYMENT]]="UNEMPLOYED", MASTER_TABLE[[#This Row],[actual order]], NA())</f>
        <v>500</v>
      </c>
    </row>
    <row r="521" spans="1:8" x14ac:dyDescent="0.25">
      <c r="A521" s="1">
        <v>41740</v>
      </c>
      <c r="B521">
        <v>17</v>
      </c>
      <c r="C521">
        <v>492</v>
      </c>
      <c r="D521" t="s">
        <v>21</v>
      </c>
      <c r="E521">
        <v>6</v>
      </c>
      <c r="F521" t="s">
        <v>2</v>
      </c>
      <c r="G521" s="4" t="e">
        <f>IF(MASTER_TABLE[[#This Row],[EMPLOYMENT]]="EMPLOYED", MASTER_TABLE[[#This Row],[actual order]],NA())</f>
        <v>#N/A</v>
      </c>
      <c r="H521" s="4">
        <f>IF(MASTER_TABLE[[#This Row],[EMPLOYMENT]]="UNEMPLOYED", MASTER_TABLE[[#This Row],[actual order]], NA())</f>
        <v>492</v>
      </c>
    </row>
    <row r="522" spans="1:8" x14ac:dyDescent="0.25">
      <c r="A522" s="1">
        <v>41755</v>
      </c>
      <c r="B522">
        <v>17</v>
      </c>
      <c r="C522">
        <v>479</v>
      </c>
      <c r="D522" t="s">
        <v>21</v>
      </c>
      <c r="E522">
        <v>6</v>
      </c>
      <c r="F522" t="s">
        <v>2</v>
      </c>
      <c r="G522" s="4" t="e">
        <f>IF(MASTER_TABLE[[#This Row],[EMPLOYMENT]]="EMPLOYED", MASTER_TABLE[[#This Row],[actual order]],NA())</f>
        <v>#N/A</v>
      </c>
      <c r="H522" s="4">
        <f>IF(MASTER_TABLE[[#This Row],[EMPLOYMENT]]="UNEMPLOYED", MASTER_TABLE[[#This Row],[actual order]], NA())</f>
        <v>479</v>
      </c>
    </row>
    <row r="523" spans="1:8" x14ac:dyDescent="0.25">
      <c r="A523" s="1">
        <v>41764</v>
      </c>
      <c r="B523">
        <v>17</v>
      </c>
      <c r="C523">
        <v>458</v>
      </c>
      <c r="D523" t="s">
        <v>21</v>
      </c>
      <c r="E523">
        <v>6</v>
      </c>
      <c r="F523" t="s">
        <v>2</v>
      </c>
      <c r="G523" s="4" t="e">
        <f>IF(MASTER_TABLE[[#This Row],[EMPLOYMENT]]="EMPLOYED", MASTER_TABLE[[#This Row],[actual order]],NA())</f>
        <v>#N/A</v>
      </c>
      <c r="H523" s="4">
        <f>IF(MASTER_TABLE[[#This Row],[EMPLOYMENT]]="UNEMPLOYED", MASTER_TABLE[[#This Row],[actual order]], NA())</f>
        <v>458</v>
      </c>
    </row>
    <row r="524" spans="1:8" x14ac:dyDescent="0.25">
      <c r="A524" s="1">
        <v>41767</v>
      </c>
      <c r="B524">
        <v>17</v>
      </c>
      <c r="C524">
        <v>462</v>
      </c>
      <c r="D524" t="s">
        <v>21</v>
      </c>
      <c r="E524">
        <v>6</v>
      </c>
      <c r="F524" t="s">
        <v>2</v>
      </c>
      <c r="G524" s="4" t="e">
        <f>IF(MASTER_TABLE[[#This Row],[EMPLOYMENT]]="EMPLOYED", MASTER_TABLE[[#This Row],[actual order]],NA())</f>
        <v>#N/A</v>
      </c>
      <c r="H524" s="4">
        <f>IF(MASTER_TABLE[[#This Row],[EMPLOYMENT]]="UNEMPLOYED", MASTER_TABLE[[#This Row],[actual order]], NA())</f>
        <v>462</v>
      </c>
    </row>
    <row r="525" spans="1:8" x14ac:dyDescent="0.25">
      <c r="A525" s="1">
        <v>41769</v>
      </c>
      <c r="B525">
        <v>17</v>
      </c>
      <c r="C525">
        <v>510</v>
      </c>
      <c r="D525" t="s">
        <v>21</v>
      </c>
      <c r="E525">
        <v>6</v>
      </c>
      <c r="F525" t="s">
        <v>2</v>
      </c>
      <c r="G525" s="4" t="e">
        <f>IF(MASTER_TABLE[[#This Row],[EMPLOYMENT]]="EMPLOYED", MASTER_TABLE[[#This Row],[actual order]],NA())</f>
        <v>#N/A</v>
      </c>
      <c r="H525" s="4">
        <f>IF(MASTER_TABLE[[#This Row],[EMPLOYMENT]]="UNEMPLOYED", MASTER_TABLE[[#This Row],[actual order]], NA())</f>
        <v>510</v>
      </c>
    </row>
    <row r="526" spans="1:8" x14ac:dyDescent="0.25">
      <c r="A526" s="1">
        <v>41778</v>
      </c>
      <c r="B526">
        <v>17</v>
      </c>
      <c r="C526">
        <v>470</v>
      </c>
      <c r="D526" t="s">
        <v>21</v>
      </c>
      <c r="E526">
        <v>6</v>
      </c>
      <c r="F526" t="s">
        <v>2</v>
      </c>
      <c r="G526" s="4" t="e">
        <f>IF(MASTER_TABLE[[#This Row],[EMPLOYMENT]]="EMPLOYED", MASTER_TABLE[[#This Row],[actual order]],NA())</f>
        <v>#N/A</v>
      </c>
      <c r="H526" s="4">
        <f>IF(MASTER_TABLE[[#This Row],[EMPLOYMENT]]="UNEMPLOYED", MASTER_TABLE[[#This Row],[actual order]], NA())</f>
        <v>470</v>
      </c>
    </row>
    <row r="527" spans="1:8" x14ac:dyDescent="0.25">
      <c r="A527" s="1">
        <v>41782</v>
      </c>
      <c r="B527">
        <v>17</v>
      </c>
      <c r="C527">
        <v>490</v>
      </c>
      <c r="D527" t="s">
        <v>21</v>
      </c>
      <c r="E527">
        <v>6</v>
      </c>
      <c r="F527" t="s">
        <v>2</v>
      </c>
      <c r="G527" s="4" t="e">
        <f>IF(MASTER_TABLE[[#This Row],[EMPLOYMENT]]="EMPLOYED", MASTER_TABLE[[#This Row],[actual order]],NA())</f>
        <v>#N/A</v>
      </c>
      <c r="H527" s="4">
        <f>IF(MASTER_TABLE[[#This Row],[EMPLOYMENT]]="UNEMPLOYED", MASTER_TABLE[[#This Row],[actual order]], NA())</f>
        <v>490</v>
      </c>
    </row>
    <row r="528" spans="1:8" x14ac:dyDescent="0.25">
      <c r="A528" s="1">
        <v>41785</v>
      </c>
      <c r="B528">
        <v>17</v>
      </c>
      <c r="C528">
        <v>481</v>
      </c>
      <c r="D528" t="s">
        <v>21</v>
      </c>
      <c r="E528">
        <v>6</v>
      </c>
      <c r="F528" t="s">
        <v>2</v>
      </c>
      <c r="G528" s="4" t="e">
        <f>IF(MASTER_TABLE[[#This Row],[EMPLOYMENT]]="EMPLOYED", MASTER_TABLE[[#This Row],[actual order]],NA())</f>
        <v>#N/A</v>
      </c>
      <c r="H528" s="4">
        <f>IF(MASTER_TABLE[[#This Row],[EMPLOYMENT]]="UNEMPLOYED", MASTER_TABLE[[#This Row],[actual order]], NA())</f>
        <v>481</v>
      </c>
    </row>
    <row r="529" spans="1:8" x14ac:dyDescent="0.25">
      <c r="A529" s="1">
        <v>41791</v>
      </c>
      <c r="B529">
        <v>17</v>
      </c>
      <c r="C529">
        <v>432</v>
      </c>
      <c r="D529" t="s">
        <v>21</v>
      </c>
      <c r="E529">
        <v>6</v>
      </c>
      <c r="F529" t="s">
        <v>2</v>
      </c>
      <c r="G529" s="4" t="e">
        <f>IF(MASTER_TABLE[[#This Row],[EMPLOYMENT]]="EMPLOYED", MASTER_TABLE[[#This Row],[actual order]],NA())</f>
        <v>#N/A</v>
      </c>
      <c r="H529" s="4">
        <f>IF(MASTER_TABLE[[#This Row],[EMPLOYMENT]]="UNEMPLOYED", MASTER_TABLE[[#This Row],[actual order]], NA())</f>
        <v>432</v>
      </c>
    </row>
    <row r="530" spans="1:8" x14ac:dyDescent="0.25">
      <c r="A530" s="1">
        <v>41795</v>
      </c>
      <c r="B530">
        <v>17</v>
      </c>
      <c r="C530">
        <v>425</v>
      </c>
      <c r="D530" t="s">
        <v>21</v>
      </c>
      <c r="E530">
        <v>6</v>
      </c>
      <c r="F530" t="s">
        <v>2</v>
      </c>
      <c r="G530" s="4" t="e">
        <f>IF(MASTER_TABLE[[#This Row],[EMPLOYMENT]]="EMPLOYED", MASTER_TABLE[[#This Row],[actual order]],NA())</f>
        <v>#N/A</v>
      </c>
      <c r="H530" s="4">
        <f>IF(MASTER_TABLE[[#This Row],[EMPLOYMENT]]="UNEMPLOYED", MASTER_TABLE[[#This Row],[actual order]], NA())</f>
        <v>425</v>
      </c>
    </row>
    <row r="531" spans="1:8" x14ac:dyDescent="0.25">
      <c r="A531" s="1">
        <v>41795</v>
      </c>
      <c r="B531">
        <v>17</v>
      </c>
      <c r="C531">
        <v>491</v>
      </c>
      <c r="D531" t="s">
        <v>21</v>
      </c>
      <c r="E531">
        <v>6</v>
      </c>
      <c r="F531" t="s">
        <v>2</v>
      </c>
      <c r="G531" s="4" t="e">
        <f>IF(MASTER_TABLE[[#This Row],[EMPLOYMENT]]="EMPLOYED", MASTER_TABLE[[#This Row],[actual order]],NA())</f>
        <v>#N/A</v>
      </c>
      <c r="H531" s="4">
        <f>IF(MASTER_TABLE[[#This Row],[EMPLOYMENT]]="UNEMPLOYED", MASTER_TABLE[[#This Row],[actual order]], NA())</f>
        <v>491</v>
      </c>
    </row>
    <row r="532" spans="1:8" x14ac:dyDescent="0.25">
      <c r="A532" s="1">
        <v>41799</v>
      </c>
      <c r="B532">
        <v>17</v>
      </c>
      <c r="C532">
        <v>457</v>
      </c>
      <c r="D532" t="s">
        <v>21</v>
      </c>
      <c r="E532">
        <v>6</v>
      </c>
      <c r="F532" t="s">
        <v>2</v>
      </c>
      <c r="G532" s="4" t="e">
        <f>IF(MASTER_TABLE[[#This Row],[EMPLOYMENT]]="EMPLOYED", MASTER_TABLE[[#This Row],[actual order]],NA())</f>
        <v>#N/A</v>
      </c>
      <c r="H532" s="4">
        <f>IF(MASTER_TABLE[[#This Row],[EMPLOYMENT]]="UNEMPLOYED", MASTER_TABLE[[#This Row],[actual order]], NA())</f>
        <v>457</v>
      </c>
    </row>
    <row r="533" spans="1:8" x14ac:dyDescent="0.25">
      <c r="A533" s="1">
        <v>41810</v>
      </c>
      <c r="B533">
        <v>17</v>
      </c>
      <c r="C533">
        <v>422</v>
      </c>
      <c r="D533" t="s">
        <v>21</v>
      </c>
      <c r="E533">
        <v>6</v>
      </c>
      <c r="F533" t="s">
        <v>2</v>
      </c>
      <c r="G533" s="4" t="e">
        <f>IF(MASTER_TABLE[[#This Row],[EMPLOYMENT]]="EMPLOYED", MASTER_TABLE[[#This Row],[actual order]],NA())</f>
        <v>#N/A</v>
      </c>
      <c r="H533" s="4">
        <f>IF(MASTER_TABLE[[#This Row],[EMPLOYMENT]]="UNEMPLOYED", MASTER_TABLE[[#This Row],[actual order]], NA())</f>
        <v>422</v>
      </c>
    </row>
    <row r="534" spans="1:8" x14ac:dyDescent="0.25">
      <c r="A534" s="1">
        <v>41812</v>
      </c>
      <c r="B534">
        <v>17</v>
      </c>
      <c r="C534">
        <v>499</v>
      </c>
      <c r="D534" t="s">
        <v>21</v>
      </c>
      <c r="E534">
        <v>6</v>
      </c>
      <c r="F534" t="s">
        <v>2</v>
      </c>
      <c r="G534" s="4" t="e">
        <f>IF(MASTER_TABLE[[#This Row],[EMPLOYMENT]]="EMPLOYED", MASTER_TABLE[[#This Row],[actual order]],NA())</f>
        <v>#N/A</v>
      </c>
      <c r="H534" s="4">
        <f>IF(MASTER_TABLE[[#This Row],[EMPLOYMENT]]="UNEMPLOYED", MASTER_TABLE[[#This Row],[actual order]], NA())</f>
        <v>499</v>
      </c>
    </row>
    <row r="535" spans="1:8" x14ac:dyDescent="0.25">
      <c r="A535" s="1">
        <v>41623</v>
      </c>
      <c r="B535">
        <v>18</v>
      </c>
      <c r="C535">
        <v>481</v>
      </c>
      <c r="D535" t="s">
        <v>21</v>
      </c>
      <c r="E535">
        <v>4</v>
      </c>
      <c r="F535" t="s">
        <v>2</v>
      </c>
      <c r="G535" s="4" t="e">
        <f>IF(MASTER_TABLE[[#This Row],[EMPLOYMENT]]="EMPLOYED", MASTER_TABLE[[#This Row],[actual order]],NA())</f>
        <v>#N/A</v>
      </c>
      <c r="H535" s="4">
        <f>IF(MASTER_TABLE[[#This Row],[EMPLOYMENT]]="UNEMPLOYED", MASTER_TABLE[[#This Row],[actual order]], NA())</f>
        <v>481</v>
      </c>
    </row>
    <row r="536" spans="1:8" x14ac:dyDescent="0.25">
      <c r="A536" s="1">
        <v>41625</v>
      </c>
      <c r="B536">
        <v>18</v>
      </c>
      <c r="C536">
        <v>440</v>
      </c>
      <c r="D536" t="s">
        <v>21</v>
      </c>
      <c r="E536">
        <v>4</v>
      </c>
      <c r="F536" t="s">
        <v>2</v>
      </c>
      <c r="G536" s="4" t="e">
        <f>IF(MASTER_TABLE[[#This Row],[EMPLOYMENT]]="EMPLOYED", MASTER_TABLE[[#This Row],[actual order]],NA())</f>
        <v>#N/A</v>
      </c>
      <c r="H536" s="4">
        <f>IF(MASTER_TABLE[[#This Row],[EMPLOYMENT]]="UNEMPLOYED", MASTER_TABLE[[#This Row],[actual order]], NA())</f>
        <v>440</v>
      </c>
    </row>
    <row r="537" spans="1:8" x14ac:dyDescent="0.25">
      <c r="A537" s="1">
        <v>41629</v>
      </c>
      <c r="B537">
        <v>18</v>
      </c>
      <c r="C537">
        <v>469</v>
      </c>
      <c r="D537" t="s">
        <v>21</v>
      </c>
      <c r="E537">
        <v>4</v>
      </c>
      <c r="F537" t="s">
        <v>2</v>
      </c>
      <c r="G537" s="4" t="e">
        <f>IF(MASTER_TABLE[[#This Row],[EMPLOYMENT]]="EMPLOYED", MASTER_TABLE[[#This Row],[actual order]],NA())</f>
        <v>#N/A</v>
      </c>
      <c r="H537" s="4">
        <f>IF(MASTER_TABLE[[#This Row],[EMPLOYMENT]]="UNEMPLOYED", MASTER_TABLE[[#This Row],[actual order]], NA())</f>
        <v>469</v>
      </c>
    </row>
    <row r="538" spans="1:8" x14ac:dyDescent="0.25">
      <c r="A538" s="1">
        <v>41637</v>
      </c>
      <c r="B538">
        <v>18</v>
      </c>
      <c r="C538">
        <v>484</v>
      </c>
      <c r="D538" t="s">
        <v>21</v>
      </c>
      <c r="E538">
        <v>4</v>
      </c>
      <c r="F538" t="s">
        <v>2</v>
      </c>
      <c r="G538" s="4" t="e">
        <f>IF(MASTER_TABLE[[#This Row],[EMPLOYMENT]]="EMPLOYED", MASTER_TABLE[[#This Row],[actual order]],NA())</f>
        <v>#N/A</v>
      </c>
      <c r="H538" s="4">
        <f>IF(MASTER_TABLE[[#This Row],[EMPLOYMENT]]="UNEMPLOYED", MASTER_TABLE[[#This Row],[actual order]], NA())</f>
        <v>484</v>
      </c>
    </row>
    <row r="539" spans="1:8" x14ac:dyDescent="0.25">
      <c r="A539" s="1">
        <v>41653</v>
      </c>
      <c r="B539">
        <v>18</v>
      </c>
      <c r="C539">
        <v>536</v>
      </c>
      <c r="D539" t="s">
        <v>21</v>
      </c>
      <c r="E539">
        <v>4</v>
      </c>
      <c r="F539" t="s">
        <v>2</v>
      </c>
      <c r="G539" s="4" t="e">
        <f>IF(MASTER_TABLE[[#This Row],[EMPLOYMENT]]="EMPLOYED", MASTER_TABLE[[#This Row],[actual order]],NA())</f>
        <v>#N/A</v>
      </c>
      <c r="H539" s="4">
        <f>IF(MASTER_TABLE[[#This Row],[EMPLOYMENT]]="UNEMPLOYED", MASTER_TABLE[[#This Row],[actual order]], NA())</f>
        <v>536</v>
      </c>
    </row>
    <row r="540" spans="1:8" x14ac:dyDescent="0.25">
      <c r="A540" s="1">
        <v>41657</v>
      </c>
      <c r="B540">
        <v>18</v>
      </c>
      <c r="C540">
        <v>539</v>
      </c>
      <c r="D540" t="s">
        <v>21</v>
      </c>
      <c r="E540">
        <v>4</v>
      </c>
      <c r="F540" t="s">
        <v>2</v>
      </c>
      <c r="G540" s="4" t="e">
        <f>IF(MASTER_TABLE[[#This Row],[EMPLOYMENT]]="EMPLOYED", MASTER_TABLE[[#This Row],[actual order]],NA())</f>
        <v>#N/A</v>
      </c>
      <c r="H540" s="4">
        <f>IF(MASTER_TABLE[[#This Row],[EMPLOYMENT]]="UNEMPLOYED", MASTER_TABLE[[#This Row],[actual order]], NA())</f>
        <v>539</v>
      </c>
    </row>
    <row r="541" spans="1:8" x14ac:dyDescent="0.25">
      <c r="A541" s="1">
        <v>41663</v>
      </c>
      <c r="B541">
        <v>18</v>
      </c>
      <c r="C541">
        <v>536</v>
      </c>
      <c r="D541" t="s">
        <v>21</v>
      </c>
      <c r="E541">
        <v>4</v>
      </c>
      <c r="F541" t="s">
        <v>2</v>
      </c>
      <c r="G541" s="4" t="e">
        <f>IF(MASTER_TABLE[[#This Row],[EMPLOYMENT]]="EMPLOYED", MASTER_TABLE[[#This Row],[actual order]],NA())</f>
        <v>#N/A</v>
      </c>
      <c r="H541" s="4">
        <f>IF(MASTER_TABLE[[#This Row],[EMPLOYMENT]]="UNEMPLOYED", MASTER_TABLE[[#This Row],[actual order]], NA())</f>
        <v>536</v>
      </c>
    </row>
    <row r="542" spans="1:8" x14ac:dyDescent="0.25">
      <c r="A542" s="1">
        <v>41666</v>
      </c>
      <c r="B542">
        <v>18</v>
      </c>
      <c r="C542">
        <v>506</v>
      </c>
      <c r="D542" t="s">
        <v>21</v>
      </c>
      <c r="E542">
        <v>4</v>
      </c>
      <c r="F542" t="s">
        <v>2</v>
      </c>
      <c r="G542" s="4" t="e">
        <f>IF(MASTER_TABLE[[#This Row],[EMPLOYMENT]]="EMPLOYED", MASTER_TABLE[[#This Row],[actual order]],NA())</f>
        <v>#N/A</v>
      </c>
      <c r="H542" s="4">
        <f>IF(MASTER_TABLE[[#This Row],[EMPLOYMENT]]="UNEMPLOYED", MASTER_TABLE[[#This Row],[actual order]], NA())</f>
        <v>506</v>
      </c>
    </row>
    <row r="543" spans="1:8" x14ac:dyDescent="0.25">
      <c r="A543" s="1">
        <v>41676</v>
      </c>
      <c r="B543">
        <v>18</v>
      </c>
      <c r="C543">
        <v>434</v>
      </c>
      <c r="D543" t="s">
        <v>21</v>
      </c>
      <c r="E543">
        <v>4</v>
      </c>
      <c r="F543" t="s">
        <v>2</v>
      </c>
      <c r="G543" s="4" t="e">
        <f>IF(MASTER_TABLE[[#This Row],[EMPLOYMENT]]="EMPLOYED", MASTER_TABLE[[#This Row],[actual order]],NA())</f>
        <v>#N/A</v>
      </c>
      <c r="H543" s="4">
        <f>IF(MASTER_TABLE[[#This Row],[EMPLOYMENT]]="UNEMPLOYED", MASTER_TABLE[[#This Row],[actual order]], NA())</f>
        <v>434</v>
      </c>
    </row>
    <row r="544" spans="1:8" x14ac:dyDescent="0.25">
      <c r="A544" s="1">
        <v>41677</v>
      </c>
      <c r="B544">
        <v>18</v>
      </c>
      <c r="C544">
        <v>505</v>
      </c>
      <c r="D544" t="s">
        <v>21</v>
      </c>
      <c r="E544">
        <v>4</v>
      </c>
      <c r="F544" t="s">
        <v>2</v>
      </c>
      <c r="G544" s="4" t="e">
        <f>IF(MASTER_TABLE[[#This Row],[EMPLOYMENT]]="EMPLOYED", MASTER_TABLE[[#This Row],[actual order]],NA())</f>
        <v>#N/A</v>
      </c>
      <c r="H544" s="4">
        <f>IF(MASTER_TABLE[[#This Row],[EMPLOYMENT]]="UNEMPLOYED", MASTER_TABLE[[#This Row],[actual order]], NA())</f>
        <v>505</v>
      </c>
    </row>
    <row r="545" spans="1:8" x14ac:dyDescent="0.25">
      <c r="A545" s="1">
        <v>41688</v>
      </c>
      <c r="B545">
        <v>18</v>
      </c>
      <c r="C545">
        <v>519</v>
      </c>
      <c r="D545" t="s">
        <v>21</v>
      </c>
      <c r="E545">
        <v>4</v>
      </c>
      <c r="F545" t="s">
        <v>2</v>
      </c>
      <c r="G545" s="4" t="e">
        <f>IF(MASTER_TABLE[[#This Row],[EMPLOYMENT]]="EMPLOYED", MASTER_TABLE[[#This Row],[actual order]],NA())</f>
        <v>#N/A</v>
      </c>
      <c r="H545" s="4">
        <f>IF(MASTER_TABLE[[#This Row],[EMPLOYMENT]]="UNEMPLOYED", MASTER_TABLE[[#This Row],[actual order]], NA())</f>
        <v>519</v>
      </c>
    </row>
    <row r="546" spans="1:8" x14ac:dyDescent="0.25">
      <c r="A546" s="1">
        <v>41714</v>
      </c>
      <c r="B546">
        <v>18</v>
      </c>
      <c r="C546">
        <v>526</v>
      </c>
      <c r="D546" t="s">
        <v>21</v>
      </c>
      <c r="E546">
        <v>4</v>
      </c>
      <c r="F546" t="s">
        <v>2</v>
      </c>
      <c r="G546" s="4" t="e">
        <f>IF(MASTER_TABLE[[#This Row],[EMPLOYMENT]]="EMPLOYED", MASTER_TABLE[[#This Row],[actual order]],NA())</f>
        <v>#N/A</v>
      </c>
      <c r="H546" s="4">
        <f>IF(MASTER_TABLE[[#This Row],[EMPLOYMENT]]="UNEMPLOYED", MASTER_TABLE[[#This Row],[actual order]], NA())</f>
        <v>526</v>
      </c>
    </row>
    <row r="547" spans="1:8" x14ac:dyDescent="0.25">
      <c r="A547" s="1">
        <v>41737</v>
      </c>
      <c r="B547">
        <v>18</v>
      </c>
      <c r="C547">
        <v>513</v>
      </c>
      <c r="D547" t="s">
        <v>21</v>
      </c>
      <c r="E547">
        <v>4</v>
      </c>
      <c r="F547" t="s">
        <v>2</v>
      </c>
      <c r="G547" s="4" t="e">
        <f>IF(MASTER_TABLE[[#This Row],[EMPLOYMENT]]="EMPLOYED", MASTER_TABLE[[#This Row],[actual order]],NA())</f>
        <v>#N/A</v>
      </c>
      <c r="H547" s="4">
        <f>IF(MASTER_TABLE[[#This Row],[EMPLOYMENT]]="UNEMPLOYED", MASTER_TABLE[[#This Row],[actual order]], NA())</f>
        <v>513</v>
      </c>
    </row>
    <row r="548" spans="1:8" x14ac:dyDescent="0.25">
      <c r="A548" s="1">
        <v>41752</v>
      </c>
      <c r="B548">
        <v>18</v>
      </c>
      <c r="C548">
        <v>515</v>
      </c>
      <c r="D548" t="s">
        <v>21</v>
      </c>
      <c r="E548">
        <v>4</v>
      </c>
      <c r="F548" t="s">
        <v>2</v>
      </c>
      <c r="G548" s="4" t="e">
        <f>IF(MASTER_TABLE[[#This Row],[EMPLOYMENT]]="EMPLOYED", MASTER_TABLE[[#This Row],[actual order]],NA())</f>
        <v>#N/A</v>
      </c>
      <c r="H548" s="4">
        <f>IF(MASTER_TABLE[[#This Row],[EMPLOYMENT]]="UNEMPLOYED", MASTER_TABLE[[#This Row],[actual order]], NA())</f>
        <v>515</v>
      </c>
    </row>
    <row r="549" spans="1:8" x14ac:dyDescent="0.25">
      <c r="A549" s="1">
        <v>41772</v>
      </c>
      <c r="B549">
        <v>18</v>
      </c>
      <c r="C549">
        <v>453</v>
      </c>
      <c r="D549" t="s">
        <v>21</v>
      </c>
      <c r="E549">
        <v>4</v>
      </c>
      <c r="F549" t="s">
        <v>2</v>
      </c>
      <c r="G549" s="4" t="e">
        <f>IF(MASTER_TABLE[[#This Row],[EMPLOYMENT]]="EMPLOYED", MASTER_TABLE[[#This Row],[actual order]],NA())</f>
        <v>#N/A</v>
      </c>
      <c r="H549" s="4">
        <f>IF(MASTER_TABLE[[#This Row],[EMPLOYMENT]]="UNEMPLOYED", MASTER_TABLE[[#This Row],[actual order]], NA())</f>
        <v>453</v>
      </c>
    </row>
    <row r="550" spans="1:8" x14ac:dyDescent="0.25">
      <c r="A550" s="1">
        <v>41774</v>
      </c>
      <c r="B550">
        <v>18</v>
      </c>
      <c r="C550">
        <v>517</v>
      </c>
      <c r="D550" t="s">
        <v>21</v>
      </c>
      <c r="E550">
        <v>4</v>
      </c>
      <c r="F550" t="s">
        <v>2</v>
      </c>
      <c r="G550" s="4" t="e">
        <f>IF(MASTER_TABLE[[#This Row],[EMPLOYMENT]]="EMPLOYED", MASTER_TABLE[[#This Row],[actual order]],NA())</f>
        <v>#N/A</v>
      </c>
      <c r="H550" s="4">
        <f>IF(MASTER_TABLE[[#This Row],[EMPLOYMENT]]="UNEMPLOYED", MASTER_TABLE[[#This Row],[actual order]], NA())</f>
        <v>517</v>
      </c>
    </row>
    <row r="551" spans="1:8" x14ac:dyDescent="0.25">
      <c r="A551" s="1">
        <v>41781</v>
      </c>
      <c r="B551">
        <v>18</v>
      </c>
      <c r="C551">
        <v>435</v>
      </c>
      <c r="D551" t="s">
        <v>21</v>
      </c>
      <c r="E551">
        <v>4</v>
      </c>
      <c r="F551" t="s">
        <v>2</v>
      </c>
      <c r="G551" s="4" t="e">
        <f>IF(MASTER_TABLE[[#This Row],[EMPLOYMENT]]="EMPLOYED", MASTER_TABLE[[#This Row],[actual order]],NA())</f>
        <v>#N/A</v>
      </c>
      <c r="H551" s="4">
        <f>IF(MASTER_TABLE[[#This Row],[EMPLOYMENT]]="UNEMPLOYED", MASTER_TABLE[[#This Row],[actual order]], NA())</f>
        <v>435</v>
      </c>
    </row>
    <row r="552" spans="1:8" x14ac:dyDescent="0.25">
      <c r="A552" s="1">
        <v>41791</v>
      </c>
      <c r="B552">
        <v>18</v>
      </c>
      <c r="C552">
        <v>532</v>
      </c>
      <c r="D552" t="s">
        <v>21</v>
      </c>
      <c r="E552">
        <v>4</v>
      </c>
      <c r="F552" t="s">
        <v>2</v>
      </c>
      <c r="G552" s="4" t="e">
        <f>IF(MASTER_TABLE[[#This Row],[EMPLOYMENT]]="EMPLOYED", MASTER_TABLE[[#This Row],[actual order]],NA())</f>
        <v>#N/A</v>
      </c>
      <c r="H552" s="4">
        <f>IF(MASTER_TABLE[[#This Row],[EMPLOYMENT]]="UNEMPLOYED", MASTER_TABLE[[#This Row],[actual order]], NA())</f>
        <v>532</v>
      </c>
    </row>
    <row r="553" spans="1:8" x14ac:dyDescent="0.25">
      <c r="A553" s="1">
        <v>41806</v>
      </c>
      <c r="B553">
        <v>18</v>
      </c>
      <c r="C553">
        <v>445</v>
      </c>
      <c r="D553" t="s">
        <v>21</v>
      </c>
      <c r="E553">
        <v>4</v>
      </c>
      <c r="F553" t="s">
        <v>2</v>
      </c>
      <c r="G553" s="4" t="e">
        <f>IF(MASTER_TABLE[[#This Row],[EMPLOYMENT]]="EMPLOYED", MASTER_TABLE[[#This Row],[actual order]],NA())</f>
        <v>#N/A</v>
      </c>
      <c r="H553" s="4">
        <f>IF(MASTER_TABLE[[#This Row],[EMPLOYMENT]]="UNEMPLOYED", MASTER_TABLE[[#This Row],[actual order]], NA())</f>
        <v>445</v>
      </c>
    </row>
    <row r="554" spans="1:8" x14ac:dyDescent="0.25">
      <c r="A554" s="1">
        <v>41807</v>
      </c>
      <c r="B554">
        <v>18</v>
      </c>
      <c r="C554">
        <v>502</v>
      </c>
      <c r="D554" t="s">
        <v>21</v>
      </c>
      <c r="E554">
        <v>4</v>
      </c>
      <c r="F554" t="s">
        <v>2</v>
      </c>
      <c r="G554" s="4" t="e">
        <f>IF(MASTER_TABLE[[#This Row],[EMPLOYMENT]]="EMPLOYED", MASTER_TABLE[[#This Row],[actual order]],NA())</f>
        <v>#N/A</v>
      </c>
      <c r="H554" s="4">
        <f>IF(MASTER_TABLE[[#This Row],[EMPLOYMENT]]="UNEMPLOYED", MASTER_TABLE[[#This Row],[actual order]], NA())</f>
        <v>502</v>
      </c>
    </row>
    <row r="555" spans="1:8" x14ac:dyDescent="0.25">
      <c r="A555" s="1">
        <v>41815</v>
      </c>
      <c r="B555">
        <v>18</v>
      </c>
      <c r="C555">
        <v>445</v>
      </c>
      <c r="D555" t="s">
        <v>21</v>
      </c>
      <c r="E555">
        <v>4</v>
      </c>
      <c r="F555" t="s">
        <v>2</v>
      </c>
      <c r="G555" s="4" t="e">
        <f>IF(MASTER_TABLE[[#This Row],[EMPLOYMENT]]="EMPLOYED", MASTER_TABLE[[#This Row],[actual order]],NA())</f>
        <v>#N/A</v>
      </c>
      <c r="H555" s="4">
        <f>IF(MASTER_TABLE[[#This Row],[EMPLOYMENT]]="UNEMPLOYED", MASTER_TABLE[[#This Row],[actual order]], NA())</f>
        <v>445</v>
      </c>
    </row>
    <row r="556" spans="1:8" x14ac:dyDescent="0.25">
      <c r="A556" s="1">
        <v>41619</v>
      </c>
      <c r="B556">
        <v>19</v>
      </c>
      <c r="C556">
        <v>167</v>
      </c>
      <c r="D556" t="s">
        <v>20</v>
      </c>
      <c r="E556">
        <v>20</v>
      </c>
      <c r="F556" t="s">
        <v>5</v>
      </c>
      <c r="G556" s="4">
        <f>IF(MASTER_TABLE[[#This Row],[EMPLOYMENT]]="EMPLOYED", MASTER_TABLE[[#This Row],[actual order]],NA())</f>
        <v>167</v>
      </c>
      <c r="H556" s="4" t="e">
        <f>IF(MASTER_TABLE[[#This Row],[EMPLOYMENT]]="UNEMPLOYED", MASTER_TABLE[[#This Row],[actual order]], NA())</f>
        <v>#N/A</v>
      </c>
    </row>
    <row r="557" spans="1:8" x14ac:dyDescent="0.25">
      <c r="A557" s="1">
        <v>41619</v>
      </c>
      <c r="B557">
        <v>19</v>
      </c>
      <c r="C557">
        <v>172</v>
      </c>
      <c r="D557" t="s">
        <v>20</v>
      </c>
      <c r="E557">
        <v>20</v>
      </c>
      <c r="F557" t="s">
        <v>5</v>
      </c>
      <c r="G557" s="4">
        <f>IF(MASTER_TABLE[[#This Row],[EMPLOYMENT]]="EMPLOYED", MASTER_TABLE[[#This Row],[actual order]],NA())</f>
        <v>172</v>
      </c>
      <c r="H557" s="4" t="e">
        <f>IF(MASTER_TABLE[[#This Row],[EMPLOYMENT]]="UNEMPLOYED", MASTER_TABLE[[#This Row],[actual order]], NA())</f>
        <v>#N/A</v>
      </c>
    </row>
    <row r="558" spans="1:8" x14ac:dyDescent="0.25">
      <c r="A558" s="1">
        <v>41619</v>
      </c>
      <c r="B558">
        <v>19</v>
      </c>
      <c r="C558">
        <v>158</v>
      </c>
      <c r="D558" t="s">
        <v>20</v>
      </c>
      <c r="E558">
        <v>20</v>
      </c>
      <c r="F558" t="s">
        <v>5</v>
      </c>
      <c r="G558" s="4">
        <f>IF(MASTER_TABLE[[#This Row],[EMPLOYMENT]]="EMPLOYED", MASTER_TABLE[[#This Row],[actual order]],NA())</f>
        <v>158</v>
      </c>
      <c r="H558" s="4" t="e">
        <f>IF(MASTER_TABLE[[#This Row],[EMPLOYMENT]]="UNEMPLOYED", MASTER_TABLE[[#This Row],[actual order]], NA())</f>
        <v>#N/A</v>
      </c>
    </row>
    <row r="559" spans="1:8" x14ac:dyDescent="0.25">
      <c r="A559" s="1">
        <v>41643</v>
      </c>
      <c r="B559">
        <v>19</v>
      </c>
      <c r="C559">
        <v>150</v>
      </c>
      <c r="D559" t="s">
        <v>20</v>
      </c>
      <c r="E559">
        <v>20</v>
      </c>
      <c r="F559" t="s">
        <v>5</v>
      </c>
      <c r="G559" s="4">
        <f>IF(MASTER_TABLE[[#This Row],[EMPLOYMENT]]="EMPLOYED", MASTER_TABLE[[#This Row],[actual order]],NA())</f>
        <v>150</v>
      </c>
      <c r="H559" s="4" t="e">
        <f>IF(MASTER_TABLE[[#This Row],[EMPLOYMENT]]="UNEMPLOYED", MASTER_TABLE[[#This Row],[actual order]], NA())</f>
        <v>#N/A</v>
      </c>
    </row>
    <row r="560" spans="1:8" x14ac:dyDescent="0.25">
      <c r="A560" s="1">
        <v>41656</v>
      </c>
      <c r="B560">
        <v>19</v>
      </c>
      <c r="C560">
        <v>176</v>
      </c>
      <c r="D560" t="s">
        <v>20</v>
      </c>
      <c r="E560">
        <v>20</v>
      </c>
      <c r="F560" t="s">
        <v>5</v>
      </c>
      <c r="G560" s="4">
        <f>IF(MASTER_TABLE[[#This Row],[EMPLOYMENT]]="EMPLOYED", MASTER_TABLE[[#This Row],[actual order]],NA())</f>
        <v>176</v>
      </c>
      <c r="H560" s="4" t="e">
        <f>IF(MASTER_TABLE[[#This Row],[EMPLOYMENT]]="UNEMPLOYED", MASTER_TABLE[[#This Row],[actual order]], NA())</f>
        <v>#N/A</v>
      </c>
    </row>
    <row r="561" spans="1:8" x14ac:dyDescent="0.25">
      <c r="A561" s="1">
        <v>41664</v>
      </c>
      <c r="B561">
        <v>19</v>
      </c>
      <c r="C561">
        <v>174</v>
      </c>
      <c r="D561" t="s">
        <v>20</v>
      </c>
      <c r="E561">
        <v>20</v>
      </c>
      <c r="F561" t="s">
        <v>5</v>
      </c>
      <c r="G561" s="4">
        <f>IF(MASTER_TABLE[[#This Row],[EMPLOYMENT]]="EMPLOYED", MASTER_TABLE[[#This Row],[actual order]],NA())</f>
        <v>174</v>
      </c>
      <c r="H561" s="4" t="e">
        <f>IF(MASTER_TABLE[[#This Row],[EMPLOYMENT]]="UNEMPLOYED", MASTER_TABLE[[#This Row],[actual order]], NA())</f>
        <v>#N/A</v>
      </c>
    </row>
    <row r="562" spans="1:8" x14ac:dyDescent="0.25">
      <c r="A562" s="1">
        <v>41664</v>
      </c>
      <c r="B562">
        <v>19</v>
      </c>
      <c r="C562">
        <v>179</v>
      </c>
      <c r="D562" t="s">
        <v>20</v>
      </c>
      <c r="E562">
        <v>20</v>
      </c>
      <c r="F562" t="s">
        <v>5</v>
      </c>
      <c r="G562" s="4">
        <f>IF(MASTER_TABLE[[#This Row],[EMPLOYMENT]]="EMPLOYED", MASTER_TABLE[[#This Row],[actual order]],NA())</f>
        <v>179</v>
      </c>
      <c r="H562" s="4" t="e">
        <f>IF(MASTER_TABLE[[#This Row],[EMPLOYMENT]]="UNEMPLOYED", MASTER_TABLE[[#This Row],[actual order]], NA())</f>
        <v>#N/A</v>
      </c>
    </row>
    <row r="563" spans="1:8" x14ac:dyDescent="0.25">
      <c r="A563" s="1">
        <v>41669</v>
      </c>
      <c r="B563">
        <v>19</v>
      </c>
      <c r="C563">
        <v>165</v>
      </c>
      <c r="D563" t="s">
        <v>20</v>
      </c>
      <c r="E563">
        <v>20</v>
      </c>
      <c r="F563" t="s">
        <v>5</v>
      </c>
      <c r="G563" s="4">
        <f>IF(MASTER_TABLE[[#This Row],[EMPLOYMENT]]="EMPLOYED", MASTER_TABLE[[#This Row],[actual order]],NA())</f>
        <v>165</v>
      </c>
      <c r="H563" s="4" t="e">
        <f>IF(MASTER_TABLE[[#This Row],[EMPLOYMENT]]="UNEMPLOYED", MASTER_TABLE[[#This Row],[actual order]], NA())</f>
        <v>#N/A</v>
      </c>
    </row>
    <row r="564" spans="1:8" x14ac:dyDescent="0.25">
      <c r="A564" s="1">
        <v>41677</v>
      </c>
      <c r="B564">
        <v>19</v>
      </c>
      <c r="C564">
        <v>167</v>
      </c>
      <c r="D564" t="s">
        <v>20</v>
      </c>
      <c r="E564">
        <v>20</v>
      </c>
      <c r="F564" t="s">
        <v>5</v>
      </c>
      <c r="G564" s="4">
        <f>IF(MASTER_TABLE[[#This Row],[EMPLOYMENT]]="EMPLOYED", MASTER_TABLE[[#This Row],[actual order]],NA())</f>
        <v>167</v>
      </c>
      <c r="H564" s="4" t="e">
        <f>IF(MASTER_TABLE[[#This Row],[EMPLOYMENT]]="UNEMPLOYED", MASTER_TABLE[[#This Row],[actual order]], NA())</f>
        <v>#N/A</v>
      </c>
    </row>
    <row r="565" spans="1:8" x14ac:dyDescent="0.25">
      <c r="A565" s="1">
        <v>41677</v>
      </c>
      <c r="B565">
        <v>19</v>
      </c>
      <c r="C565">
        <v>172</v>
      </c>
      <c r="D565" t="s">
        <v>20</v>
      </c>
      <c r="E565">
        <v>20</v>
      </c>
      <c r="F565" t="s">
        <v>5</v>
      </c>
      <c r="G565" s="4">
        <f>IF(MASTER_TABLE[[#This Row],[EMPLOYMENT]]="EMPLOYED", MASTER_TABLE[[#This Row],[actual order]],NA())</f>
        <v>172</v>
      </c>
      <c r="H565" s="4" t="e">
        <f>IF(MASTER_TABLE[[#This Row],[EMPLOYMENT]]="UNEMPLOYED", MASTER_TABLE[[#This Row],[actual order]], NA())</f>
        <v>#N/A</v>
      </c>
    </row>
    <row r="566" spans="1:8" x14ac:dyDescent="0.25">
      <c r="A566" s="1">
        <v>41682</v>
      </c>
      <c r="B566">
        <v>19</v>
      </c>
      <c r="C566">
        <v>147</v>
      </c>
      <c r="D566" t="s">
        <v>20</v>
      </c>
      <c r="E566">
        <v>20</v>
      </c>
      <c r="F566" t="s">
        <v>5</v>
      </c>
      <c r="G566" s="4">
        <f>IF(MASTER_TABLE[[#This Row],[EMPLOYMENT]]="EMPLOYED", MASTER_TABLE[[#This Row],[actual order]],NA())</f>
        <v>147</v>
      </c>
      <c r="H566" s="4" t="e">
        <f>IF(MASTER_TABLE[[#This Row],[EMPLOYMENT]]="UNEMPLOYED", MASTER_TABLE[[#This Row],[actual order]], NA())</f>
        <v>#N/A</v>
      </c>
    </row>
    <row r="567" spans="1:8" x14ac:dyDescent="0.25">
      <c r="A567" s="1">
        <v>41683</v>
      </c>
      <c r="B567">
        <v>19</v>
      </c>
      <c r="C567">
        <v>172</v>
      </c>
      <c r="D567" t="s">
        <v>20</v>
      </c>
      <c r="E567">
        <v>20</v>
      </c>
      <c r="F567" t="s">
        <v>5</v>
      </c>
      <c r="G567" s="4">
        <f>IF(MASTER_TABLE[[#This Row],[EMPLOYMENT]]="EMPLOYED", MASTER_TABLE[[#This Row],[actual order]],NA())</f>
        <v>172</v>
      </c>
      <c r="H567" s="4" t="e">
        <f>IF(MASTER_TABLE[[#This Row],[EMPLOYMENT]]="UNEMPLOYED", MASTER_TABLE[[#This Row],[actual order]], NA())</f>
        <v>#N/A</v>
      </c>
    </row>
    <row r="568" spans="1:8" x14ac:dyDescent="0.25">
      <c r="A568" s="1">
        <v>41683</v>
      </c>
      <c r="B568">
        <v>19</v>
      </c>
      <c r="C568">
        <v>170</v>
      </c>
      <c r="D568" t="s">
        <v>20</v>
      </c>
      <c r="E568">
        <v>20</v>
      </c>
      <c r="F568" t="s">
        <v>5</v>
      </c>
      <c r="G568" s="4">
        <f>IF(MASTER_TABLE[[#This Row],[EMPLOYMENT]]="EMPLOYED", MASTER_TABLE[[#This Row],[actual order]],NA())</f>
        <v>170</v>
      </c>
      <c r="H568" s="4" t="e">
        <f>IF(MASTER_TABLE[[#This Row],[EMPLOYMENT]]="UNEMPLOYED", MASTER_TABLE[[#This Row],[actual order]], NA())</f>
        <v>#N/A</v>
      </c>
    </row>
    <row r="569" spans="1:8" x14ac:dyDescent="0.25">
      <c r="A569" s="1">
        <v>41685</v>
      </c>
      <c r="B569">
        <v>19</v>
      </c>
      <c r="C569">
        <v>144</v>
      </c>
      <c r="D569" t="s">
        <v>20</v>
      </c>
      <c r="E569">
        <v>20</v>
      </c>
      <c r="F569" t="s">
        <v>5</v>
      </c>
      <c r="G569" s="4">
        <f>IF(MASTER_TABLE[[#This Row],[EMPLOYMENT]]="EMPLOYED", MASTER_TABLE[[#This Row],[actual order]],NA())</f>
        <v>144</v>
      </c>
      <c r="H569" s="4" t="e">
        <f>IF(MASTER_TABLE[[#This Row],[EMPLOYMENT]]="UNEMPLOYED", MASTER_TABLE[[#This Row],[actual order]], NA())</f>
        <v>#N/A</v>
      </c>
    </row>
    <row r="570" spans="1:8" x14ac:dyDescent="0.25">
      <c r="A570" s="1">
        <v>41700</v>
      </c>
      <c r="B570">
        <v>19</v>
      </c>
      <c r="C570">
        <v>147</v>
      </c>
      <c r="D570" t="s">
        <v>20</v>
      </c>
      <c r="E570">
        <v>20</v>
      </c>
      <c r="F570" t="s">
        <v>5</v>
      </c>
      <c r="G570" s="4">
        <f>IF(MASTER_TABLE[[#This Row],[EMPLOYMENT]]="EMPLOYED", MASTER_TABLE[[#This Row],[actual order]],NA())</f>
        <v>147</v>
      </c>
      <c r="H570" s="4" t="e">
        <f>IF(MASTER_TABLE[[#This Row],[EMPLOYMENT]]="UNEMPLOYED", MASTER_TABLE[[#This Row],[actual order]], NA())</f>
        <v>#N/A</v>
      </c>
    </row>
    <row r="571" spans="1:8" x14ac:dyDescent="0.25">
      <c r="A571" s="1">
        <v>41702</v>
      </c>
      <c r="B571">
        <v>19</v>
      </c>
      <c r="C571">
        <v>181</v>
      </c>
      <c r="D571" t="s">
        <v>20</v>
      </c>
      <c r="E571">
        <v>20</v>
      </c>
      <c r="F571" t="s">
        <v>5</v>
      </c>
      <c r="G571" s="4">
        <f>IF(MASTER_TABLE[[#This Row],[EMPLOYMENT]]="EMPLOYED", MASTER_TABLE[[#This Row],[actual order]],NA())</f>
        <v>181</v>
      </c>
      <c r="H571" s="4" t="e">
        <f>IF(MASTER_TABLE[[#This Row],[EMPLOYMENT]]="UNEMPLOYED", MASTER_TABLE[[#This Row],[actual order]], NA())</f>
        <v>#N/A</v>
      </c>
    </row>
    <row r="572" spans="1:8" x14ac:dyDescent="0.25">
      <c r="A572" s="1">
        <v>41706</v>
      </c>
      <c r="B572">
        <v>19</v>
      </c>
      <c r="C572">
        <v>173</v>
      </c>
      <c r="D572" t="s">
        <v>20</v>
      </c>
      <c r="E572">
        <v>20</v>
      </c>
      <c r="F572" t="s">
        <v>5</v>
      </c>
      <c r="G572" s="4">
        <f>IF(MASTER_TABLE[[#This Row],[EMPLOYMENT]]="EMPLOYED", MASTER_TABLE[[#This Row],[actual order]],NA())</f>
        <v>173</v>
      </c>
      <c r="H572" s="4" t="e">
        <f>IF(MASTER_TABLE[[#This Row],[EMPLOYMENT]]="UNEMPLOYED", MASTER_TABLE[[#This Row],[actual order]], NA())</f>
        <v>#N/A</v>
      </c>
    </row>
    <row r="573" spans="1:8" x14ac:dyDescent="0.25">
      <c r="A573" s="1">
        <v>41706</v>
      </c>
      <c r="B573">
        <v>19</v>
      </c>
      <c r="C573">
        <v>164</v>
      </c>
      <c r="D573" t="s">
        <v>20</v>
      </c>
      <c r="E573">
        <v>20</v>
      </c>
      <c r="F573" t="s">
        <v>5</v>
      </c>
      <c r="G573" s="4">
        <f>IF(MASTER_TABLE[[#This Row],[EMPLOYMENT]]="EMPLOYED", MASTER_TABLE[[#This Row],[actual order]],NA())</f>
        <v>164</v>
      </c>
      <c r="H573" s="4" t="e">
        <f>IF(MASTER_TABLE[[#This Row],[EMPLOYMENT]]="UNEMPLOYED", MASTER_TABLE[[#This Row],[actual order]], NA())</f>
        <v>#N/A</v>
      </c>
    </row>
    <row r="574" spans="1:8" x14ac:dyDescent="0.25">
      <c r="A574" s="1">
        <v>41709</v>
      </c>
      <c r="B574">
        <v>19</v>
      </c>
      <c r="C574">
        <v>174</v>
      </c>
      <c r="D574" t="s">
        <v>20</v>
      </c>
      <c r="E574">
        <v>20</v>
      </c>
      <c r="F574" t="s">
        <v>5</v>
      </c>
      <c r="G574" s="4">
        <f>IF(MASTER_TABLE[[#This Row],[EMPLOYMENT]]="EMPLOYED", MASTER_TABLE[[#This Row],[actual order]],NA())</f>
        <v>174</v>
      </c>
      <c r="H574" s="4" t="e">
        <f>IF(MASTER_TABLE[[#This Row],[EMPLOYMENT]]="UNEMPLOYED", MASTER_TABLE[[#This Row],[actual order]], NA())</f>
        <v>#N/A</v>
      </c>
    </row>
    <row r="575" spans="1:8" x14ac:dyDescent="0.25">
      <c r="A575" s="1">
        <v>41720</v>
      </c>
      <c r="B575">
        <v>19</v>
      </c>
      <c r="C575">
        <v>152</v>
      </c>
      <c r="D575" t="s">
        <v>20</v>
      </c>
      <c r="E575">
        <v>20</v>
      </c>
      <c r="F575" t="s">
        <v>5</v>
      </c>
      <c r="G575" s="4">
        <f>IF(MASTER_TABLE[[#This Row],[EMPLOYMENT]]="EMPLOYED", MASTER_TABLE[[#This Row],[actual order]],NA())</f>
        <v>152</v>
      </c>
      <c r="H575" s="4" t="e">
        <f>IF(MASTER_TABLE[[#This Row],[EMPLOYMENT]]="UNEMPLOYED", MASTER_TABLE[[#This Row],[actual order]], NA())</f>
        <v>#N/A</v>
      </c>
    </row>
    <row r="576" spans="1:8" x14ac:dyDescent="0.25">
      <c r="A576" s="1">
        <v>41729</v>
      </c>
      <c r="B576">
        <v>19</v>
      </c>
      <c r="C576">
        <v>164</v>
      </c>
      <c r="D576" t="s">
        <v>20</v>
      </c>
      <c r="E576">
        <v>20</v>
      </c>
      <c r="F576" t="s">
        <v>5</v>
      </c>
      <c r="G576" s="4">
        <f>IF(MASTER_TABLE[[#This Row],[EMPLOYMENT]]="EMPLOYED", MASTER_TABLE[[#This Row],[actual order]],NA())</f>
        <v>164</v>
      </c>
      <c r="H576" s="4" t="e">
        <f>IF(MASTER_TABLE[[#This Row],[EMPLOYMENT]]="UNEMPLOYED", MASTER_TABLE[[#This Row],[actual order]], NA())</f>
        <v>#N/A</v>
      </c>
    </row>
    <row r="577" spans="1:8" x14ac:dyDescent="0.25">
      <c r="A577" s="1">
        <v>41730</v>
      </c>
      <c r="B577">
        <v>19</v>
      </c>
      <c r="C577">
        <v>179</v>
      </c>
      <c r="D577" t="s">
        <v>20</v>
      </c>
      <c r="E577">
        <v>20</v>
      </c>
      <c r="F577" t="s">
        <v>5</v>
      </c>
      <c r="G577" s="4">
        <f>IF(MASTER_TABLE[[#This Row],[EMPLOYMENT]]="EMPLOYED", MASTER_TABLE[[#This Row],[actual order]],NA())</f>
        <v>179</v>
      </c>
      <c r="H577" s="4" t="e">
        <f>IF(MASTER_TABLE[[#This Row],[EMPLOYMENT]]="UNEMPLOYED", MASTER_TABLE[[#This Row],[actual order]], NA())</f>
        <v>#N/A</v>
      </c>
    </row>
    <row r="578" spans="1:8" x14ac:dyDescent="0.25">
      <c r="A578" s="1">
        <v>41736</v>
      </c>
      <c r="B578">
        <v>19</v>
      </c>
      <c r="C578">
        <v>159</v>
      </c>
      <c r="D578" t="s">
        <v>20</v>
      </c>
      <c r="E578">
        <v>20</v>
      </c>
      <c r="F578" t="s">
        <v>5</v>
      </c>
      <c r="G578" s="4">
        <f>IF(MASTER_TABLE[[#This Row],[EMPLOYMENT]]="EMPLOYED", MASTER_TABLE[[#This Row],[actual order]],NA())</f>
        <v>159</v>
      </c>
      <c r="H578" s="4" t="e">
        <f>IF(MASTER_TABLE[[#This Row],[EMPLOYMENT]]="UNEMPLOYED", MASTER_TABLE[[#This Row],[actual order]], NA())</f>
        <v>#N/A</v>
      </c>
    </row>
    <row r="579" spans="1:8" x14ac:dyDescent="0.25">
      <c r="A579" s="1">
        <v>41738</v>
      </c>
      <c r="B579">
        <v>19</v>
      </c>
      <c r="C579">
        <v>154</v>
      </c>
      <c r="D579" t="s">
        <v>20</v>
      </c>
      <c r="E579">
        <v>20</v>
      </c>
      <c r="F579" t="s">
        <v>5</v>
      </c>
      <c r="G579" s="4">
        <f>IF(MASTER_TABLE[[#This Row],[EMPLOYMENT]]="EMPLOYED", MASTER_TABLE[[#This Row],[actual order]],NA())</f>
        <v>154</v>
      </c>
      <c r="H579" s="4" t="e">
        <f>IF(MASTER_TABLE[[#This Row],[EMPLOYMENT]]="UNEMPLOYED", MASTER_TABLE[[#This Row],[actual order]], NA())</f>
        <v>#N/A</v>
      </c>
    </row>
    <row r="580" spans="1:8" x14ac:dyDescent="0.25">
      <c r="A580" s="1">
        <v>41740</v>
      </c>
      <c r="B580">
        <v>19</v>
      </c>
      <c r="C580">
        <v>163</v>
      </c>
      <c r="D580" t="s">
        <v>20</v>
      </c>
      <c r="E580">
        <v>20</v>
      </c>
      <c r="F580" t="s">
        <v>5</v>
      </c>
      <c r="G580" s="4">
        <f>IF(MASTER_TABLE[[#This Row],[EMPLOYMENT]]="EMPLOYED", MASTER_TABLE[[#This Row],[actual order]],NA())</f>
        <v>163</v>
      </c>
      <c r="H580" s="4" t="e">
        <f>IF(MASTER_TABLE[[#This Row],[EMPLOYMENT]]="UNEMPLOYED", MASTER_TABLE[[#This Row],[actual order]], NA())</f>
        <v>#N/A</v>
      </c>
    </row>
    <row r="581" spans="1:8" x14ac:dyDescent="0.25">
      <c r="A581" s="1">
        <v>41751</v>
      </c>
      <c r="B581">
        <v>19</v>
      </c>
      <c r="C581">
        <v>184</v>
      </c>
      <c r="D581" t="s">
        <v>20</v>
      </c>
      <c r="E581">
        <v>20</v>
      </c>
      <c r="F581" t="s">
        <v>5</v>
      </c>
      <c r="G581" s="4">
        <f>IF(MASTER_TABLE[[#This Row],[EMPLOYMENT]]="EMPLOYED", MASTER_TABLE[[#This Row],[actual order]],NA())</f>
        <v>184</v>
      </c>
      <c r="H581" s="4" t="e">
        <f>IF(MASTER_TABLE[[#This Row],[EMPLOYMENT]]="UNEMPLOYED", MASTER_TABLE[[#This Row],[actual order]], NA())</f>
        <v>#N/A</v>
      </c>
    </row>
    <row r="582" spans="1:8" x14ac:dyDescent="0.25">
      <c r="A582" s="1">
        <v>41759</v>
      </c>
      <c r="B582">
        <v>19</v>
      </c>
      <c r="C582">
        <v>179</v>
      </c>
      <c r="D582" t="s">
        <v>20</v>
      </c>
      <c r="E582">
        <v>20</v>
      </c>
      <c r="F582" t="s">
        <v>5</v>
      </c>
      <c r="G582" s="4">
        <f>IF(MASTER_TABLE[[#This Row],[EMPLOYMENT]]="EMPLOYED", MASTER_TABLE[[#This Row],[actual order]],NA())</f>
        <v>179</v>
      </c>
      <c r="H582" s="4" t="e">
        <f>IF(MASTER_TABLE[[#This Row],[EMPLOYMENT]]="UNEMPLOYED", MASTER_TABLE[[#This Row],[actual order]], NA())</f>
        <v>#N/A</v>
      </c>
    </row>
    <row r="583" spans="1:8" x14ac:dyDescent="0.25">
      <c r="A583" s="1">
        <v>41764</v>
      </c>
      <c r="B583">
        <v>19</v>
      </c>
      <c r="C583">
        <v>185</v>
      </c>
      <c r="D583" t="s">
        <v>20</v>
      </c>
      <c r="E583">
        <v>20</v>
      </c>
      <c r="F583" t="s">
        <v>5</v>
      </c>
      <c r="G583" s="4">
        <f>IF(MASTER_TABLE[[#This Row],[EMPLOYMENT]]="EMPLOYED", MASTER_TABLE[[#This Row],[actual order]],NA())</f>
        <v>185</v>
      </c>
      <c r="H583" s="4" t="e">
        <f>IF(MASTER_TABLE[[#This Row],[EMPLOYMENT]]="UNEMPLOYED", MASTER_TABLE[[#This Row],[actual order]], NA())</f>
        <v>#N/A</v>
      </c>
    </row>
    <row r="584" spans="1:8" x14ac:dyDescent="0.25">
      <c r="A584" s="1">
        <v>41776</v>
      </c>
      <c r="B584">
        <v>19</v>
      </c>
      <c r="C584">
        <v>160</v>
      </c>
      <c r="D584" t="s">
        <v>20</v>
      </c>
      <c r="E584">
        <v>20</v>
      </c>
      <c r="F584" t="s">
        <v>5</v>
      </c>
      <c r="G584" s="4">
        <f>IF(MASTER_TABLE[[#This Row],[EMPLOYMENT]]="EMPLOYED", MASTER_TABLE[[#This Row],[actual order]],NA())</f>
        <v>160</v>
      </c>
      <c r="H584" s="4" t="e">
        <f>IF(MASTER_TABLE[[#This Row],[EMPLOYMENT]]="UNEMPLOYED", MASTER_TABLE[[#This Row],[actual order]], NA())</f>
        <v>#N/A</v>
      </c>
    </row>
    <row r="585" spans="1:8" x14ac:dyDescent="0.25">
      <c r="A585" s="1">
        <v>41780</v>
      </c>
      <c r="B585">
        <v>19</v>
      </c>
      <c r="C585">
        <v>155</v>
      </c>
      <c r="D585" t="s">
        <v>20</v>
      </c>
      <c r="E585">
        <v>20</v>
      </c>
      <c r="F585" t="s">
        <v>5</v>
      </c>
      <c r="G585" s="4">
        <f>IF(MASTER_TABLE[[#This Row],[EMPLOYMENT]]="EMPLOYED", MASTER_TABLE[[#This Row],[actual order]],NA())</f>
        <v>155</v>
      </c>
      <c r="H585" s="4" t="e">
        <f>IF(MASTER_TABLE[[#This Row],[EMPLOYMENT]]="UNEMPLOYED", MASTER_TABLE[[#This Row],[actual order]], NA())</f>
        <v>#N/A</v>
      </c>
    </row>
    <row r="586" spans="1:8" x14ac:dyDescent="0.25">
      <c r="A586" s="1">
        <v>41784</v>
      </c>
      <c r="B586">
        <v>19</v>
      </c>
      <c r="C586">
        <v>155</v>
      </c>
      <c r="D586" t="s">
        <v>20</v>
      </c>
      <c r="E586">
        <v>20</v>
      </c>
      <c r="F586" t="s">
        <v>5</v>
      </c>
      <c r="G586" s="4">
        <f>IF(MASTER_TABLE[[#This Row],[EMPLOYMENT]]="EMPLOYED", MASTER_TABLE[[#This Row],[actual order]],NA())</f>
        <v>155</v>
      </c>
      <c r="H586" s="4" t="e">
        <f>IF(MASTER_TABLE[[#This Row],[EMPLOYMENT]]="UNEMPLOYED", MASTER_TABLE[[#This Row],[actual order]], NA())</f>
        <v>#N/A</v>
      </c>
    </row>
    <row r="587" spans="1:8" x14ac:dyDescent="0.25">
      <c r="A587" s="1">
        <v>41785</v>
      </c>
      <c r="B587">
        <v>19</v>
      </c>
      <c r="C587">
        <v>168</v>
      </c>
      <c r="D587" t="s">
        <v>20</v>
      </c>
      <c r="E587">
        <v>20</v>
      </c>
      <c r="F587" t="s">
        <v>5</v>
      </c>
      <c r="G587" s="4">
        <f>IF(MASTER_TABLE[[#This Row],[EMPLOYMENT]]="EMPLOYED", MASTER_TABLE[[#This Row],[actual order]],NA())</f>
        <v>168</v>
      </c>
      <c r="H587" s="4" t="e">
        <f>IF(MASTER_TABLE[[#This Row],[EMPLOYMENT]]="UNEMPLOYED", MASTER_TABLE[[#This Row],[actual order]], NA())</f>
        <v>#N/A</v>
      </c>
    </row>
    <row r="588" spans="1:8" x14ac:dyDescent="0.25">
      <c r="A588" s="1">
        <v>41787</v>
      </c>
      <c r="B588">
        <v>19</v>
      </c>
      <c r="C588">
        <v>169</v>
      </c>
      <c r="D588" t="s">
        <v>20</v>
      </c>
      <c r="E588">
        <v>20</v>
      </c>
      <c r="F588" t="s">
        <v>5</v>
      </c>
      <c r="G588" s="4">
        <f>IF(MASTER_TABLE[[#This Row],[EMPLOYMENT]]="EMPLOYED", MASTER_TABLE[[#This Row],[actual order]],NA())</f>
        <v>169</v>
      </c>
      <c r="H588" s="4" t="e">
        <f>IF(MASTER_TABLE[[#This Row],[EMPLOYMENT]]="UNEMPLOYED", MASTER_TABLE[[#This Row],[actual order]], NA())</f>
        <v>#N/A</v>
      </c>
    </row>
    <row r="589" spans="1:8" x14ac:dyDescent="0.25">
      <c r="A589" s="1">
        <v>41798</v>
      </c>
      <c r="B589">
        <v>19</v>
      </c>
      <c r="C589">
        <v>171</v>
      </c>
      <c r="D589" t="s">
        <v>20</v>
      </c>
      <c r="E589">
        <v>20</v>
      </c>
      <c r="F589" t="s">
        <v>5</v>
      </c>
      <c r="G589" s="4">
        <f>IF(MASTER_TABLE[[#This Row],[EMPLOYMENT]]="EMPLOYED", MASTER_TABLE[[#This Row],[actual order]],NA())</f>
        <v>171</v>
      </c>
      <c r="H589" s="4" t="e">
        <f>IF(MASTER_TABLE[[#This Row],[EMPLOYMENT]]="UNEMPLOYED", MASTER_TABLE[[#This Row],[actual order]], NA())</f>
        <v>#N/A</v>
      </c>
    </row>
    <row r="590" spans="1:8" x14ac:dyDescent="0.25">
      <c r="A590" s="1">
        <v>41798</v>
      </c>
      <c r="B590">
        <v>19</v>
      </c>
      <c r="C590">
        <v>152</v>
      </c>
      <c r="D590" t="s">
        <v>20</v>
      </c>
      <c r="E590">
        <v>20</v>
      </c>
      <c r="F590" t="s">
        <v>5</v>
      </c>
      <c r="G590" s="4">
        <f>IF(MASTER_TABLE[[#This Row],[EMPLOYMENT]]="EMPLOYED", MASTER_TABLE[[#This Row],[actual order]],NA())</f>
        <v>152</v>
      </c>
      <c r="H590" s="4" t="e">
        <f>IF(MASTER_TABLE[[#This Row],[EMPLOYMENT]]="UNEMPLOYED", MASTER_TABLE[[#This Row],[actual order]], NA())</f>
        <v>#N/A</v>
      </c>
    </row>
    <row r="591" spans="1:8" x14ac:dyDescent="0.25">
      <c r="A591" s="1">
        <v>41799</v>
      </c>
      <c r="B591">
        <v>19</v>
      </c>
      <c r="C591">
        <v>156</v>
      </c>
      <c r="D591" t="s">
        <v>20</v>
      </c>
      <c r="E591">
        <v>20</v>
      </c>
      <c r="F591" t="s">
        <v>5</v>
      </c>
      <c r="G591" s="4">
        <f>IF(MASTER_TABLE[[#This Row],[EMPLOYMENT]]="EMPLOYED", MASTER_TABLE[[#This Row],[actual order]],NA())</f>
        <v>156</v>
      </c>
      <c r="H591" s="4" t="e">
        <f>IF(MASTER_TABLE[[#This Row],[EMPLOYMENT]]="UNEMPLOYED", MASTER_TABLE[[#This Row],[actual order]], NA())</f>
        <v>#N/A</v>
      </c>
    </row>
    <row r="592" spans="1:8" x14ac:dyDescent="0.25">
      <c r="A592" s="1">
        <v>41806</v>
      </c>
      <c r="B592">
        <v>19</v>
      </c>
      <c r="C592">
        <v>187</v>
      </c>
      <c r="D592" t="s">
        <v>20</v>
      </c>
      <c r="E592">
        <v>20</v>
      </c>
      <c r="F592" t="s">
        <v>5</v>
      </c>
      <c r="G592" s="4">
        <f>IF(MASTER_TABLE[[#This Row],[EMPLOYMENT]]="EMPLOYED", MASTER_TABLE[[#This Row],[actual order]],NA())</f>
        <v>187</v>
      </c>
      <c r="H592" s="4" t="e">
        <f>IF(MASTER_TABLE[[#This Row],[EMPLOYMENT]]="UNEMPLOYED", MASTER_TABLE[[#This Row],[actual order]], NA())</f>
        <v>#N/A</v>
      </c>
    </row>
    <row r="593" spans="1:8" x14ac:dyDescent="0.25">
      <c r="A593" s="1">
        <v>41809</v>
      </c>
      <c r="B593">
        <v>19</v>
      </c>
      <c r="C593">
        <v>165</v>
      </c>
      <c r="D593" t="s">
        <v>20</v>
      </c>
      <c r="E593">
        <v>20</v>
      </c>
      <c r="F593" t="s">
        <v>5</v>
      </c>
      <c r="G593" s="4">
        <f>IF(MASTER_TABLE[[#This Row],[EMPLOYMENT]]="EMPLOYED", MASTER_TABLE[[#This Row],[actual order]],NA())</f>
        <v>165</v>
      </c>
      <c r="H593" s="4" t="e">
        <f>IF(MASTER_TABLE[[#This Row],[EMPLOYMENT]]="UNEMPLOYED", MASTER_TABLE[[#This Row],[actual order]], NA())</f>
        <v>#N/A</v>
      </c>
    </row>
    <row r="594" spans="1:8" x14ac:dyDescent="0.25">
      <c r="A594" s="1">
        <v>41626</v>
      </c>
      <c r="B594">
        <v>20</v>
      </c>
      <c r="C594">
        <v>288</v>
      </c>
      <c r="D594" t="s">
        <v>20</v>
      </c>
      <c r="E594">
        <v>11</v>
      </c>
      <c r="F594" t="s">
        <v>3</v>
      </c>
      <c r="G594" s="4">
        <f>IF(MASTER_TABLE[[#This Row],[EMPLOYMENT]]="EMPLOYED", MASTER_TABLE[[#This Row],[actual order]],NA())</f>
        <v>288</v>
      </c>
      <c r="H594" s="4" t="e">
        <f>IF(MASTER_TABLE[[#This Row],[EMPLOYMENT]]="UNEMPLOYED", MASTER_TABLE[[#This Row],[actual order]], NA())</f>
        <v>#N/A</v>
      </c>
    </row>
    <row r="595" spans="1:8" x14ac:dyDescent="0.25">
      <c r="A595" s="1">
        <v>41630</v>
      </c>
      <c r="B595">
        <v>20</v>
      </c>
      <c r="C595">
        <v>320</v>
      </c>
      <c r="D595" t="s">
        <v>20</v>
      </c>
      <c r="E595">
        <v>11</v>
      </c>
      <c r="F595" t="s">
        <v>3</v>
      </c>
      <c r="G595" s="4">
        <f>IF(MASTER_TABLE[[#This Row],[EMPLOYMENT]]="EMPLOYED", MASTER_TABLE[[#This Row],[actual order]],NA())</f>
        <v>320</v>
      </c>
      <c r="H595" s="4" t="e">
        <f>IF(MASTER_TABLE[[#This Row],[EMPLOYMENT]]="UNEMPLOYED", MASTER_TABLE[[#This Row],[actual order]], NA())</f>
        <v>#N/A</v>
      </c>
    </row>
    <row r="596" spans="1:8" x14ac:dyDescent="0.25">
      <c r="A596" s="1">
        <v>41631</v>
      </c>
      <c r="B596">
        <v>20</v>
      </c>
      <c r="C596">
        <v>342</v>
      </c>
      <c r="D596" t="s">
        <v>20</v>
      </c>
      <c r="E596">
        <v>11</v>
      </c>
      <c r="F596" t="s">
        <v>3</v>
      </c>
      <c r="G596" s="4">
        <f>IF(MASTER_TABLE[[#This Row],[EMPLOYMENT]]="EMPLOYED", MASTER_TABLE[[#This Row],[actual order]],NA())</f>
        <v>342</v>
      </c>
      <c r="H596" s="4" t="e">
        <f>IF(MASTER_TABLE[[#This Row],[EMPLOYMENT]]="UNEMPLOYED", MASTER_TABLE[[#This Row],[actual order]], NA())</f>
        <v>#N/A</v>
      </c>
    </row>
    <row r="597" spans="1:8" x14ac:dyDescent="0.25">
      <c r="A597" s="1">
        <v>41647</v>
      </c>
      <c r="B597">
        <v>20</v>
      </c>
      <c r="C597">
        <v>293</v>
      </c>
      <c r="D597" t="s">
        <v>20</v>
      </c>
      <c r="E597">
        <v>11</v>
      </c>
      <c r="F597" t="s">
        <v>3</v>
      </c>
      <c r="G597" s="4">
        <f>IF(MASTER_TABLE[[#This Row],[EMPLOYMENT]]="EMPLOYED", MASTER_TABLE[[#This Row],[actual order]],NA())</f>
        <v>293</v>
      </c>
      <c r="H597" s="4" t="e">
        <f>IF(MASTER_TABLE[[#This Row],[EMPLOYMENT]]="UNEMPLOYED", MASTER_TABLE[[#This Row],[actual order]], NA())</f>
        <v>#N/A</v>
      </c>
    </row>
    <row r="598" spans="1:8" x14ac:dyDescent="0.25">
      <c r="A598" s="1">
        <v>41653</v>
      </c>
      <c r="B598">
        <v>20</v>
      </c>
      <c r="C598">
        <v>330</v>
      </c>
      <c r="D598" t="s">
        <v>20</v>
      </c>
      <c r="E598">
        <v>11</v>
      </c>
      <c r="F598" t="s">
        <v>3</v>
      </c>
      <c r="G598" s="4">
        <f>IF(MASTER_TABLE[[#This Row],[EMPLOYMENT]]="EMPLOYED", MASTER_TABLE[[#This Row],[actual order]],NA())</f>
        <v>330</v>
      </c>
      <c r="H598" s="4" t="e">
        <f>IF(MASTER_TABLE[[#This Row],[EMPLOYMENT]]="UNEMPLOYED", MASTER_TABLE[[#This Row],[actual order]], NA())</f>
        <v>#N/A</v>
      </c>
    </row>
    <row r="599" spans="1:8" x14ac:dyDescent="0.25">
      <c r="A599" s="1">
        <v>41662</v>
      </c>
      <c r="B599">
        <v>20</v>
      </c>
      <c r="C599">
        <v>297</v>
      </c>
      <c r="D599" t="s">
        <v>20</v>
      </c>
      <c r="E599">
        <v>11</v>
      </c>
      <c r="F599" t="s">
        <v>3</v>
      </c>
      <c r="G599" s="4">
        <f>IF(MASTER_TABLE[[#This Row],[EMPLOYMENT]]="EMPLOYED", MASTER_TABLE[[#This Row],[actual order]],NA())</f>
        <v>297</v>
      </c>
      <c r="H599" s="4" t="e">
        <f>IF(MASTER_TABLE[[#This Row],[EMPLOYMENT]]="UNEMPLOYED", MASTER_TABLE[[#This Row],[actual order]], NA())</f>
        <v>#N/A</v>
      </c>
    </row>
    <row r="600" spans="1:8" x14ac:dyDescent="0.25">
      <c r="A600" s="1">
        <v>41662</v>
      </c>
      <c r="B600">
        <v>20</v>
      </c>
      <c r="C600">
        <v>318</v>
      </c>
      <c r="D600" t="s">
        <v>20</v>
      </c>
      <c r="E600">
        <v>11</v>
      </c>
      <c r="F600" t="s">
        <v>3</v>
      </c>
      <c r="G600" s="4">
        <f>IF(MASTER_TABLE[[#This Row],[EMPLOYMENT]]="EMPLOYED", MASTER_TABLE[[#This Row],[actual order]],NA())</f>
        <v>318</v>
      </c>
      <c r="H600" s="4" t="e">
        <f>IF(MASTER_TABLE[[#This Row],[EMPLOYMENT]]="UNEMPLOYED", MASTER_TABLE[[#This Row],[actual order]], NA())</f>
        <v>#N/A</v>
      </c>
    </row>
    <row r="601" spans="1:8" x14ac:dyDescent="0.25">
      <c r="A601" s="1">
        <v>41676</v>
      </c>
      <c r="B601">
        <v>20</v>
      </c>
      <c r="C601">
        <v>277</v>
      </c>
      <c r="D601" t="s">
        <v>20</v>
      </c>
      <c r="E601">
        <v>11</v>
      </c>
      <c r="F601" t="s">
        <v>3</v>
      </c>
      <c r="G601" s="4">
        <f>IF(MASTER_TABLE[[#This Row],[EMPLOYMENT]]="EMPLOYED", MASTER_TABLE[[#This Row],[actual order]],NA())</f>
        <v>277</v>
      </c>
      <c r="H601" s="4" t="e">
        <f>IF(MASTER_TABLE[[#This Row],[EMPLOYMENT]]="UNEMPLOYED", MASTER_TABLE[[#This Row],[actual order]], NA())</f>
        <v>#N/A</v>
      </c>
    </row>
    <row r="602" spans="1:8" x14ac:dyDescent="0.25">
      <c r="A602" s="1">
        <v>41684</v>
      </c>
      <c r="B602">
        <v>20</v>
      </c>
      <c r="C602">
        <v>323</v>
      </c>
      <c r="D602" t="s">
        <v>20</v>
      </c>
      <c r="E602">
        <v>11</v>
      </c>
      <c r="F602" t="s">
        <v>3</v>
      </c>
      <c r="G602" s="4">
        <f>IF(MASTER_TABLE[[#This Row],[EMPLOYMENT]]="EMPLOYED", MASTER_TABLE[[#This Row],[actual order]],NA())</f>
        <v>323</v>
      </c>
      <c r="H602" s="4" t="e">
        <f>IF(MASTER_TABLE[[#This Row],[EMPLOYMENT]]="UNEMPLOYED", MASTER_TABLE[[#This Row],[actual order]], NA())</f>
        <v>#N/A</v>
      </c>
    </row>
    <row r="603" spans="1:8" x14ac:dyDescent="0.25">
      <c r="A603" s="1">
        <v>41700</v>
      </c>
      <c r="B603">
        <v>20</v>
      </c>
      <c r="C603">
        <v>324</v>
      </c>
      <c r="D603" t="s">
        <v>20</v>
      </c>
      <c r="E603">
        <v>11</v>
      </c>
      <c r="F603" t="s">
        <v>3</v>
      </c>
      <c r="G603" s="4">
        <f>IF(MASTER_TABLE[[#This Row],[EMPLOYMENT]]="EMPLOYED", MASTER_TABLE[[#This Row],[actual order]],NA())</f>
        <v>324</v>
      </c>
      <c r="H603" s="4" t="e">
        <f>IF(MASTER_TABLE[[#This Row],[EMPLOYMENT]]="UNEMPLOYED", MASTER_TABLE[[#This Row],[actual order]], NA())</f>
        <v>#N/A</v>
      </c>
    </row>
    <row r="604" spans="1:8" x14ac:dyDescent="0.25">
      <c r="A604" s="1">
        <v>41733</v>
      </c>
      <c r="B604">
        <v>20</v>
      </c>
      <c r="C604">
        <v>311</v>
      </c>
      <c r="D604" t="s">
        <v>20</v>
      </c>
      <c r="E604">
        <v>11</v>
      </c>
      <c r="F604" t="s">
        <v>3</v>
      </c>
      <c r="G604" s="4">
        <f>IF(MASTER_TABLE[[#This Row],[EMPLOYMENT]]="EMPLOYED", MASTER_TABLE[[#This Row],[actual order]],NA())</f>
        <v>311</v>
      </c>
      <c r="H604" s="4" t="e">
        <f>IF(MASTER_TABLE[[#This Row],[EMPLOYMENT]]="UNEMPLOYED", MASTER_TABLE[[#This Row],[actual order]], NA())</f>
        <v>#N/A</v>
      </c>
    </row>
    <row r="605" spans="1:8" x14ac:dyDescent="0.25">
      <c r="A605" s="1">
        <v>41740</v>
      </c>
      <c r="B605">
        <v>20</v>
      </c>
      <c r="C605">
        <v>278</v>
      </c>
      <c r="D605" t="s">
        <v>20</v>
      </c>
      <c r="E605">
        <v>11</v>
      </c>
      <c r="F605" t="s">
        <v>3</v>
      </c>
      <c r="G605" s="4">
        <f>IF(MASTER_TABLE[[#This Row],[EMPLOYMENT]]="EMPLOYED", MASTER_TABLE[[#This Row],[actual order]],NA())</f>
        <v>278</v>
      </c>
      <c r="H605" s="4" t="e">
        <f>IF(MASTER_TABLE[[#This Row],[EMPLOYMENT]]="UNEMPLOYED", MASTER_TABLE[[#This Row],[actual order]], NA())</f>
        <v>#N/A</v>
      </c>
    </row>
    <row r="606" spans="1:8" x14ac:dyDescent="0.25">
      <c r="A606" s="1">
        <v>41745</v>
      </c>
      <c r="B606">
        <v>20</v>
      </c>
      <c r="C606">
        <v>310</v>
      </c>
      <c r="D606" t="s">
        <v>20</v>
      </c>
      <c r="E606">
        <v>11</v>
      </c>
      <c r="F606" t="s">
        <v>3</v>
      </c>
      <c r="G606" s="4">
        <f>IF(MASTER_TABLE[[#This Row],[EMPLOYMENT]]="EMPLOYED", MASTER_TABLE[[#This Row],[actual order]],NA())</f>
        <v>310</v>
      </c>
      <c r="H606" s="4" t="e">
        <f>IF(MASTER_TABLE[[#This Row],[EMPLOYMENT]]="UNEMPLOYED", MASTER_TABLE[[#This Row],[actual order]], NA())</f>
        <v>#N/A</v>
      </c>
    </row>
    <row r="607" spans="1:8" x14ac:dyDescent="0.25">
      <c r="A607" s="1">
        <v>41752</v>
      </c>
      <c r="B607">
        <v>20</v>
      </c>
      <c r="C607">
        <v>283</v>
      </c>
      <c r="D607" t="s">
        <v>20</v>
      </c>
      <c r="E607">
        <v>11</v>
      </c>
      <c r="F607" t="s">
        <v>3</v>
      </c>
      <c r="G607" s="4">
        <f>IF(MASTER_TABLE[[#This Row],[EMPLOYMENT]]="EMPLOYED", MASTER_TABLE[[#This Row],[actual order]],NA())</f>
        <v>283</v>
      </c>
      <c r="H607" s="4" t="e">
        <f>IF(MASTER_TABLE[[#This Row],[EMPLOYMENT]]="UNEMPLOYED", MASTER_TABLE[[#This Row],[actual order]], NA())</f>
        <v>#N/A</v>
      </c>
    </row>
    <row r="608" spans="1:8" x14ac:dyDescent="0.25">
      <c r="A608" s="1">
        <v>41759</v>
      </c>
      <c r="B608">
        <v>20</v>
      </c>
      <c r="C608">
        <v>326</v>
      </c>
      <c r="D608" t="s">
        <v>20</v>
      </c>
      <c r="E608">
        <v>11</v>
      </c>
      <c r="F608" t="s">
        <v>3</v>
      </c>
      <c r="G608" s="4">
        <f>IF(MASTER_TABLE[[#This Row],[EMPLOYMENT]]="EMPLOYED", MASTER_TABLE[[#This Row],[actual order]],NA())</f>
        <v>326</v>
      </c>
      <c r="H608" s="4" t="e">
        <f>IF(MASTER_TABLE[[#This Row],[EMPLOYMENT]]="UNEMPLOYED", MASTER_TABLE[[#This Row],[actual order]], NA())</f>
        <v>#N/A</v>
      </c>
    </row>
    <row r="609" spans="1:8" x14ac:dyDescent="0.25">
      <c r="A609" s="1">
        <v>41774</v>
      </c>
      <c r="B609">
        <v>20</v>
      </c>
      <c r="C609">
        <v>306</v>
      </c>
      <c r="D609" t="s">
        <v>20</v>
      </c>
      <c r="E609">
        <v>11</v>
      </c>
      <c r="F609" t="s">
        <v>3</v>
      </c>
      <c r="G609" s="4">
        <f>IF(MASTER_TABLE[[#This Row],[EMPLOYMENT]]="EMPLOYED", MASTER_TABLE[[#This Row],[actual order]],NA())</f>
        <v>306</v>
      </c>
      <c r="H609" s="4" t="e">
        <f>IF(MASTER_TABLE[[#This Row],[EMPLOYMENT]]="UNEMPLOYED", MASTER_TABLE[[#This Row],[actual order]], NA())</f>
        <v>#N/A</v>
      </c>
    </row>
    <row r="610" spans="1:8" x14ac:dyDescent="0.25">
      <c r="A610" s="1">
        <v>41776</v>
      </c>
      <c r="B610">
        <v>20</v>
      </c>
      <c r="C610">
        <v>319</v>
      </c>
      <c r="D610" t="s">
        <v>20</v>
      </c>
      <c r="E610">
        <v>11</v>
      </c>
      <c r="F610" t="s">
        <v>3</v>
      </c>
      <c r="G610" s="4">
        <f>IF(MASTER_TABLE[[#This Row],[EMPLOYMENT]]="EMPLOYED", MASTER_TABLE[[#This Row],[actual order]],NA())</f>
        <v>319</v>
      </c>
      <c r="H610" s="4" t="e">
        <f>IF(MASTER_TABLE[[#This Row],[EMPLOYMENT]]="UNEMPLOYED", MASTER_TABLE[[#This Row],[actual order]], NA())</f>
        <v>#N/A</v>
      </c>
    </row>
    <row r="611" spans="1:8" x14ac:dyDescent="0.25">
      <c r="A611" s="1">
        <v>41783</v>
      </c>
      <c r="B611">
        <v>20</v>
      </c>
      <c r="C611">
        <v>299</v>
      </c>
      <c r="D611" t="s">
        <v>20</v>
      </c>
      <c r="E611">
        <v>11</v>
      </c>
      <c r="F611" t="s">
        <v>3</v>
      </c>
      <c r="G611" s="4">
        <f>IF(MASTER_TABLE[[#This Row],[EMPLOYMENT]]="EMPLOYED", MASTER_TABLE[[#This Row],[actual order]],NA())</f>
        <v>299</v>
      </c>
      <c r="H611" s="4" t="e">
        <f>IF(MASTER_TABLE[[#This Row],[EMPLOYMENT]]="UNEMPLOYED", MASTER_TABLE[[#This Row],[actual order]], NA())</f>
        <v>#N/A</v>
      </c>
    </row>
    <row r="612" spans="1:8" x14ac:dyDescent="0.25">
      <c r="A612" s="1">
        <v>41788</v>
      </c>
      <c r="B612">
        <v>20</v>
      </c>
      <c r="C612">
        <v>298</v>
      </c>
      <c r="D612" t="s">
        <v>20</v>
      </c>
      <c r="E612">
        <v>11</v>
      </c>
      <c r="F612" t="s">
        <v>3</v>
      </c>
      <c r="G612" s="4">
        <f>IF(MASTER_TABLE[[#This Row],[EMPLOYMENT]]="EMPLOYED", MASTER_TABLE[[#This Row],[actual order]],NA())</f>
        <v>298</v>
      </c>
      <c r="H612" s="4" t="e">
        <f>IF(MASTER_TABLE[[#This Row],[EMPLOYMENT]]="UNEMPLOYED", MASTER_TABLE[[#This Row],[actual order]], NA())</f>
        <v>#N/A</v>
      </c>
    </row>
    <row r="613" spans="1:8" x14ac:dyDescent="0.25">
      <c r="A613" s="1">
        <v>41804</v>
      </c>
      <c r="B613">
        <v>20</v>
      </c>
      <c r="C613">
        <v>305</v>
      </c>
      <c r="D613" t="s">
        <v>20</v>
      </c>
      <c r="E613">
        <v>11</v>
      </c>
      <c r="F613" t="s">
        <v>3</v>
      </c>
      <c r="G613" s="4">
        <f>IF(MASTER_TABLE[[#This Row],[EMPLOYMENT]]="EMPLOYED", MASTER_TABLE[[#This Row],[actual order]],NA())</f>
        <v>305</v>
      </c>
      <c r="H613" s="4" t="e">
        <f>IF(MASTER_TABLE[[#This Row],[EMPLOYMENT]]="UNEMPLOYED", MASTER_TABLE[[#This Row],[actual order]], NA())</f>
        <v>#N/A</v>
      </c>
    </row>
    <row r="614" spans="1:8" x14ac:dyDescent="0.25">
      <c r="A614" s="1">
        <v>41807</v>
      </c>
      <c r="B614">
        <v>20</v>
      </c>
      <c r="C614">
        <v>290</v>
      </c>
      <c r="D614" t="s">
        <v>20</v>
      </c>
      <c r="E614">
        <v>11</v>
      </c>
      <c r="F614" t="s">
        <v>3</v>
      </c>
      <c r="G614" s="4">
        <f>IF(MASTER_TABLE[[#This Row],[EMPLOYMENT]]="EMPLOYED", MASTER_TABLE[[#This Row],[actual order]],NA())</f>
        <v>290</v>
      </c>
      <c r="H614" s="4" t="e">
        <f>IF(MASTER_TABLE[[#This Row],[EMPLOYMENT]]="UNEMPLOYED", MASTER_TABLE[[#This Row],[actual order]], NA())</f>
        <v>#N/A</v>
      </c>
    </row>
    <row r="615" spans="1:8" x14ac:dyDescent="0.25">
      <c r="A615" s="1">
        <v>41815</v>
      </c>
      <c r="B615">
        <v>20</v>
      </c>
      <c r="C615">
        <v>345</v>
      </c>
      <c r="D615" t="s">
        <v>20</v>
      </c>
      <c r="E615">
        <v>11</v>
      </c>
      <c r="F615" t="s">
        <v>3</v>
      </c>
      <c r="G615" s="4">
        <f>IF(MASTER_TABLE[[#This Row],[EMPLOYMENT]]="EMPLOYED", MASTER_TABLE[[#This Row],[actual order]],NA())</f>
        <v>345</v>
      </c>
      <c r="H615" s="4" t="e">
        <f>IF(MASTER_TABLE[[#This Row],[EMPLOYMENT]]="UNEMPLOYED", MASTER_TABLE[[#This Row],[actual order]], NA())</f>
        <v>#N/A</v>
      </c>
    </row>
  </sheetData>
  <phoneticPr fontId="2" type="noConversion"/>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7AC92-F284-45B9-A3EC-AFFA26D0D470}">
  <dimension ref="A1"/>
  <sheetViews>
    <sheetView workbookViewId="0">
      <selection sqref="A1:A1048576"/>
    </sheetView>
  </sheetViews>
  <sheetFormatPr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46F84-700B-4BEF-AE1D-F10B2D167287}">
  <sheetPr codeName="Sheet13"/>
  <dimension ref="A1:E22"/>
  <sheetViews>
    <sheetView workbookViewId="0">
      <selection activeCell="A2" sqref="A2:E22"/>
    </sheetView>
  </sheetViews>
  <sheetFormatPr defaultRowHeight="15" x14ac:dyDescent="0.25"/>
  <cols>
    <col min="1" max="1" width="8.85546875" bestFit="1" customWidth="1"/>
    <col min="2" max="2" width="13.42578125" bestFit="1" customWidth="1"/>
    <col min="3" max="3" width="6.140625" bestFit="1" customWidth="1"/>
    <col min="4" max="4" width="11.140625" bestFit="1" customWidth="1"/>
    <col min="5" max="5" width="13" customWidth="1"/>
  </cols>
  <sheetData>
    <row r="1" spans="1:5" x14ac:dyDescent="0.25">
      <c r="A1" t="s">
        <v>8</v>
      </c>
      <c r="B1" t="s">
        <v>22</v>
      </c>
      <c r="C1" t="s">
        <v>23</v>
      </c>
      <c r="D1" t="s">
        <v>24</v>
      </c>
      <c r="E1" t="s">
        <v>25</v>
      </c>
    </row>
    <row r="2" spans="1:5" x14ac:dyDescent="0.25">
      <c r="A2">
        <v>1</v>
      </c>
      <c r="B2">
        <v>1</v>
      </c>
      <c r="C2">
        <v>48</v>
      </c>
      <c r="D2">
        <v>18</v>
      </c>
      <c r="E2" t="str">
        <f t="shared" ref="E2:E22" si="0">IF(B2=1, "EMPLOYED",  "UNEMPLOYED")</f>
        <v>EMPLOYED</v>
      </c>
    </row>
    <row r="3" spans="1:5" x14ac:dyDescent="0.25">
      <c r="A3">
        <v>2</v>
      </c>
      <c r="B3">
        <v>2</v>
      </c>
      <c r="C3">
        <v>56</v>
      </c>
      <c r="D3">
        <v>20</v>
      </c>
      <c r="E3" t="str">
        <f t="shared" si="0"/>
        <v>UNEMPLOYED</v>
      </c>
    </row>
    <row r="4" spans="1:5" x14ac:dyDescent="0.25">
      <c r="A4">
        <v>3</v>
      </c>
      <c r="B4">
        <v>2</v>
      </c>
      <c r="C4">
        <v>51</v>
      </c>
      <c r="D4">
        <v>25</v>
      </c>
      <c r="E4" t="str">
        <f t="shared" si="0"/>
        <v>UNEMPLOYED</v>
      </c>
    </row>
    <row r="5" spans="1:5" x14ac:dyDescent="0.25">
      <c r="A5">
        <v>3</v>
      </c>
      <c r="B5">
        <v>2</v>
      </c>
      <c r="D5">
        <v>25</v>
      </c>
      <c r="E5" t="str">
        <f t="shared" si="0"/>
        <v>UNEMPLOYED</v>
      </c>
    </row>
    <row r="6" spans="1:5" x14ac:dyDescent="0.25">
      <c r="A6">
        <v>4</v>
      </c>
      <c r="B6">
        <v>1</v>
      </c>
      <c r="C6">
        <v>27</v>
      </c>
      <c r="D6">
        <v>9</v>
      </c>
      <c r="E6" t="str">
        <f t="shared" si="0"/>
        <v>EMPLOYED</v>
      </c>
    </row>
    <row r="7" spans="1:5" x14ac:dyDescent="0.25">
      <c r="A7">
        <v>5</v>
      </c>
      <c r="B7">
        <v>2</v>
      </c>
      <c r="C7">
        <v>22</v>
      </c>
      <c r="D7">
        <v>23</v>
      </c>
      <c r="E7" t="str">
        <f t="shared" si="0"/>
        <v>UNEMPLOYED</v>
      </c>
    </row>
    <row r="8" spans="1:5" x14ac:dyDescent="0.25">
      <c r="A8">
        <v>6</v>
      </c>
      <c r="B8">
        <v>2</v>
      </c>
      <c r="C8">
        <v>19</v>
      </c>
      <c r="D8">
        <v>17</v>
      </c>
      <c r="E8" t="str">
        <f t="shared" si="0"/>
        <v>UNEMPLOYED</v>
      </c>
    </row>
    <row r="9" spans="1:5" x14ac:dyDescent="0.25">
      <c r="A9">
        <v>7</v>
      </c>
      <c r="B9">
        <v>1</v>
      </c>
      <c r="C9">
        <v>55</v>
      </c>
      <c r="D9">
        <v>25</v>
      </c>
      <c r="E9" t="str">
        <f t="shared" si="0"/>
        <v>EMPLOYED</v>
      </c>
    </row>
    <row r="10" spans="1:5" x14ac:dyDescent="0.25">
      <c r="A10">
        <v>8</v>
      </c>
      <c r="B10">
        <v>2</v>
      </c>
      <c r="C10">
        <v>30</v>
      </c>
      <c r="D10">
        <v>12</v>
      </c>
      <c r="E10" t="str">
        <f t="shared" si="0"/>
        <v>UNEMPLOYED</v>
      </c>
    </row>
    <row r="11" spans="1:5" x14ac:dyDescent="0.25">
      <c r="A11">
        <v>9</v>
      </c>
      <c r="B11">
        <v>2</v>
      </c>
      <c r="C11">
        <v>25</v>
      </c>
      <c r="D11">
        <v>16</v>
      </c>
      <c r="E11" t="str">
        <f t="shared" si="0"/>
        <v>UNEMPLOYED</v>
      </c>
    </row>
    <row r="12" spans="1:5" x14ac:dyDescent="0.25">
      <c r="A12">
        <v>10</v>
      </c>
      <c r="B12">
        <v>2</v>
      </c>
      <c r="C12">
        <v>26</v>
      </c>
      <c r="D12">
        <v>10</v>
      </c>
      <c r="E12" t="str">
        <f t="shared" si="0"/>
        <v>UNEMPLOYED</v>
      </c>
    </row>
    <row r="13" spans="1:5" x14ac:dyDescent="0.25">
      <c r="A13">
        <v>11</v>
      </c>
      <c r="B13">
        <v>1</v>
      </c>
      <c r="C13">
        <v>33</v>
      </c>
      <c r="D13">
        <v>6</v>
      </c>
      <c r="E13" t="str">
        <f t="shared" si="0"/>
        <v>EMPLOYED</v>
      </c>
    </row>
    <row r="14" spans="1:5" x14ac:dyDescent="0.25">
      <c r="A14">
        <v>12</v>
      </c>
      <c r="B14">
        <v>1</v>
      </c>
      <c r="C14">
        <v>49</v>
      </c>
      <c r="D14">
        <v>8</v>
      </c>
      <c r="E14" t="str">
        <f t="shared" si="0"/>
        <v>EMPLOYED</v>
      </c>
    </row>
    <row r="15" spans="1:5" x14ac:dyDescent="0.25">
      <c r="A15">
        <v>13</v>
      </c>
      <c r="B15">
        <v>2</v>
      </c>
      <c r="C15">
        <v>45</v>
      </c>
      <c r="D15">
        <v>3</v>
      </c>
      <c r="E15" t="str">
        <f t="shared" si="0"/>
        <v>UNEMPLOYED</v>
      </c>
    </row>
    <row r="16" spans="1:5" x14ac:dyDescent="0.25">
      <c r="A16">
        <v>14</v>
      </c>
      <c r="B16">
        <v>2</v>
      </c>
      <c r="C16">
        <v>41</v>
      </c>
      <c r="D16">
        <v>4</v>
      </c>
      <c r="E16" t="str">
        <f t="shared" si="0"/>
        <v>UNEMPLOYED</v>
      </c>
    </row>
    <row r="17" spans="1:5" x14ac:dyDescent="0.25">
      <c r="A17">
        <v>15</v>
      </c>
      <c r="B17">
        <v>2</v>
      </c>
      <c r="C17">
        <v>26</v>
      </c>
      <c r="D17">
        <v>13</v>
      </c>
      <c r="E17" t="str">
        <f t="shared" si="0"/>
        <v>UNEMPLOYED</v>
      </c>
    </row>
    <row r="18" spans="1:5" x14ac:dyDescent="0.25">
      <c r="A18">
        <v>16</v>
      </c>
      <c r="B18">
        <v>2</v>
      </c>
      <c r="C18">
        <v>48</v>
      </c>
      <c r="D18">
        <v>1</v>
      </c>
      <c r="E18" t="str">
        <f t="shared" si="0"/>
        <v>UNEMPLOYED</v>
      </c>
    </row>
    <row r="19" spans="1:5" x14ac:dyDescent="0.25">
      <c r="A19">
        <v>17</v>
      </c>
      <c r="B19">
        <v>2</v>
      </c>
      <c r="C19">
        <v>20</v>
      </c>
      <c r="D19">
        <v>6</v>
      </c>
      <c r="E19" t="str">
        <f t="shared" si="0"/>
        <v>UNEMPLOYED</v>
      </c>
    </row>
    <row r="20" spans="1:5" x14ac:dyDescent="0.25">
      <c r="A20">
        <v>18</v>
      </c>
      <c r="B20">
        <v>2</v>
      </c>
      <c r="C20">
        <v>19</v>
      </c>
      <c r="D20">
        <v>4</v>
      </c>
      <c r="E20" t="str">
        <f t="shared" si="0"/>
        <v>UNEMPLOYED</v>
      </c>
    </row>
    <row r="21" spans="1:5" x14ac:dyDescent="0.25">
      <c r="A21">
        <v>19</v>
      </c>
      <c r="B21">
        <v>1</v>
      </c>
      <c r="C21">
        <v>60</v>
      </c>
      <c r="D21">
        <v>20</v>
      </c>
      <c r="E21" t="str">
        <f t="shared" si="0"/>
        <v>EMPLOYED</v>
      </c>
    </row>
    <row r="22" spans="1:5" x14ac:dyDescent="0.25">
      <c r="A22">
        <v>20</v>
      </c>
      <c r="B22">
        <v>1</v>
      </c>
      <c r="C22">
        <v>33</v>
      </c>
      <c r="D22">
        <v>11</v>
      </c>
      <c r="E22" t="str">
        <f t="shared" si="0"/>
        <v>EMPLOYED</v>
      </c>
    </row>
  </sheetData>
  <conditionalFormatting sqref="A2:E22">
    <cfRule type="expression" dxfId="4" priority="1">
      <formula>ISBLANK(A2)</formula>
    </cfRule>
    <cfRule type="expression" dxfId="3" priority="2">
      <formula>"ISBLANK(A2)"</formula>
    </cfRule>
    <cfRule type="cellIs" dxfId="2" priority="4" operator="equal">
      <formula>"BLANK"</formula>
    </cfRule>
    <cfRule type="cellIs" dxfId="1" priority="5" operator="equal">
      <formula>" "</formula>
    </cfRule>
  </conditionalFormatting>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7C0887D-335E-4DB8-AC8E-E42BFD67F92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Postcodes</vt:lpstr>
      <vt:lpstr>Value_order</vt:lpstr>
      <vt:lpstr>pivot_table</vt:lpstr>
      <vt:lpstr>MASTER_TABLE</vt:lpstr>
      <vt:lpstr>written commentary</vt:lpstr>
      <vt:lpstr>Cust_inform</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Danial Pourjam (student)</dc:creator>
  <cp:keywords/>
  <dc:description/>
  <cp:lastModifiedBy>Danial Pourjam (student)</cp:lastModifiedBy>
  <cp:revision/>
  <cp:lastPrinted>2026-03-17T13:23:41Z</cp:lastPrinted>
  <dcterms:created xsi:type="dcterms:W3CDTF">2026-03-09T13:22:34Z</dcterms:created>
  <dcterms:modified xsi:type="dcterms:W3CDTF">2026-03-17T15:30:37Z</dcterms:modified>
  <cp:category/>
  <cp:contentStatus/>
</cp:coreProperties>
</file>